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nova preenchida" sheetId="1" state="visible" r:id="rId1"/>
    <sheet name="Só no modelo" sheetId="2" state="visible" r:id="rId2"/>
    <sheet name="Resumo" sheetId="3" state="visible" r:id="rId3"/>
  </sheets>
  <definedNames>
    <definedName name="_xlnm._FilterDatabase" localSheetId="0" hidden="1">'Planilha nova preenchida'!$A$1:$H$44</definedName>
    <definedName name="_xlnm._FilterDatabase" localSheetId="1" hidden="1">'Só no modelo'!$A$1:$F$10</definedName>
    <definedName name="_xlnm._FilterDatabase" localSheetId="2" hidden="1">'Resumo'!$A$1:$B$7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164" fontId="1" fillId="2" borderId="1" applyAlignment="1" pivotButton="0" quotePrefix="0" xfId="0">
      <alignment horizontal="right" vertical="center"/>
    </xf>
    <xf numFmtId="0" fontId="1" fillId="3" borderId="1" applyAlignment="1" pivotButton="0" quotePrefix="0" xfId="0">
      <alignment vertical="center"/>
    </xf>
    <xf numFmtId="164" fontId="1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6" customWidth="1" min="3" max="3"/>
    <col width="16" customWidth="1" min="4" max="4"/>
    <col width="28" customWidth="1" min="5" max="5"/>
    <col width="26" customWidth="1" min="6" max="6"/>
    <col width="26" customWidth="1" min="7" max="7"/>
    <col width="32" customWidth="1" min="8" max="8"/>
  </cols>
  <sheetData>
    <row r="1" ht="28" customHeight="1">
      <c r="A1" s="1" t="inlineStr">
        <is>
          <t>Fornecedor</t>
        </is>
      </c>
      <c r="B1" s="1" t="inlineStr">
        <is>
          <t>Histórico</t>
        </is>
      </c>
      <c r="C1" s="1" t="inlineStr">
        <is>
          <t>Valor ago/2026</t>
        </is>
      </c>
      <c r="D1" s="1" t="inlineStr">
        <is>
          <t>Valor no modelo</t>
        </is>
      </c>
      <c r="E1" s="1" t="inlineStr">
        <is>
          <t>Relação</t>
        </is>
      </c>
      <c r="F1" s="1" t="inlineStr">
        <is>
          <t>Categoria</t>
        </is>
      </c>
      <c r="G1" s="1" t="inlineStr">
        <is>
          <t>Subcategoria</t>
        </is>
      </c>
      <c r="H1" s="1" t="inlineStr">
        <is>
          <t>Observação</t>
        </is>
      </c>
    </row>
    <row r="2">
      <c r="A2" s="2" t="inlineStr">
        <is>
          <t>Assiste/Ocupacional</t>
        </is>
      </c>
      <c r="B2" s="2" t="inlineStr">
        <is>
          <t>Medicina Trabalho</t>
        </is>
      </c>
      <c r="C2" s="3" t="n">
        <v>272.85</v>
      </c>
      <c r="D2" s="3" t="n"/>
      <c r="E2" s="2" t="inlineStr">
        <is>
          <t>Novo (não está no modelo)</t>
        </is>
      </c>
      <c r="F2" s="2" t="inlineStr">
        <is>
          <t>Pessoal</t>
        </is>
      </c>
      <c r="G2" s="2" t="inlineStr">
        <is>
          <t>Medicina do trabalho</t>
        </is>
      </c>
      <c r="H2" s="2" t="inlineStr">
        <is>
          <t>Preencher só com a planilha nova</t>
        </is>
      </c>
    </row>
    <row r="3">
      <c r="A3" s="4" t="inlineStr">
        <is>
          <t>Augusto Vianna da Costa Torres</t>
        </is>
      </c>
      <c r="B3" s="4" t="inlineStr">
        <is>
          <t>Cesta básica</t>
        </is>
      </c>
      <c r="C3" s="5" t="n">
        <v>120</v>
      </c>
      <c r="D3" s="5" t="n">
        <v>120</v>
      </c>
      <c r="E3" s="4" t="inlineStr">
        <is>
          <t>Encontrado no modelo</t>
        </is>
      </c>
      <c r="F3" s="4" t="inlineStr">
        <is>
          <t>Pessoal</t>
        </is>
      </c>
      <c r="G3" s="4" t="inlineStr">
        <is>
          <t>Cesta básica</t>
        </is>
      </c>
      <c r="H3" s="4" t="inlineStr">
        <is>
          <t>Modelo linha 3</t>
        </is>
      </c>
    </row>
    <row r="4">
      <c r="A4" s="4" t="inlineStr">
        <is>
          <t>Augusto Vianna da Costa Torres</t>
        </is>
      </c>
      <c r="B4" s="4" t="inlineStr">
        <is>
          <t>Salário</t>
        </is>
      </c>
      <c r="C4" s="5" t="n">
        <v>1588</v>
      </c>
      <c r="D4" s="5" t="n">
        <v>1529</v>
      </c>
      <c r="E4" s="4" t="inlineStr">
        <is>
          <t>Encontrado no modelo</t>
        </is>
      </c>
      <c r="F4" s="4" t="inlineStr">
        <is>
          <t>Pessoal</t>
        </is>
      </c>
      <c r="G4" s="4" t="inlineStr">
        <is>
          <t>Salário</t>
        </is>
      </c>
      <c r="H4" s="4" t="inlineStr">
        <is>
          <t>Modelo linha 4</t>
        </is>
      </c>
    </row>
    <row r="5">
      <c r="A5" s="4" t="inlineStr">
        <is>
          <t>Augusto Vianna da Costa Torres</t>
        </is>
      </c>
      <c r="B5" s="4" t="inlineStr">
        <is>
          <t>Vale Transporte Jul/26</t>
        </is>
      </c>
      <c r="C5" s="5" t="n">
        <v>358</v>
      </c>
      <c r="D5" s="5" t="n">
        <v>375.9</v>
      </c>
      <c r="E5" s="4" t="inlineStr">
        <is>
          <t>Encontrado no modelo</t>
        </is>
      </c>
      <c r="F5" s="4" t="inlineStr">
        <is>
          <t>Pessoal</t>
        </is>
      </c>
      <c r="G5" s="4" t="inlineStr">
        <is>
          <t>Vale transporte</t>
        </is>
      </c>
      <c r="H5" s="4" t="inlineStr">
        <is>
          <t>Modelo linha 5</t>
        </is>
      </c>
    </row>
    <row r="6">
      <c r="A6" s="2" t="inlineStr">
        <is>
          <t>Augusto Vianna da Costa Torres</t>
        </is>
      </c>
      <c r="B6" s="2" t="inlineStr">
        <is>
          <t>Diferença salarial</t>
        </is>
      </c>
      <c r="C6" s="3" t="n">
        <v>390.87</v>
      </c>
      <c r="D6" s="3" t="n"/>
      <c r="E6" s="2" t="inlineStr">
        <is>
          <t>Novo (não está no modelo)</t>
        </is>
      </c>
      <c r="F6" s="2" t="inlineStr">
        <is>
          <t>Pessoal</t>
        </is>
      </c>
      <c r="G6" s="2" t="inlineStr">
        <is>
          <t>Salário</t>
        </is>
      </c>
      <c r="H6" s="2" t="inlineStr">
        <is>
          <t>Preencher só com a planilha nova</t>
        </is>
      </c>
    </row>
    <row r="7">
      <c r="A7" s="4" t="inlineStr">
        <is>
          <t>BDMG</t>
        </is>
      </c>
      <c r="B7" s="4" t="inlineStr">
        <is>
          <t>Empréstimo</t>
        </is>
      </c>
      <c r="C7" s="5" t="n">
        <v>5933.24</v>
      </c>
      <c r="D7" s="5" t="n">
        <v>5920.08</v>
      </c>
      <c r="E7" s="4" t="inlineStr">
        <is>
          <t>Encontrado no modelo</t>
        </is>
      </c>
      <c r="F7" s="4" t="inlineStr">
        <is>
          <t>BDMG – Empréstimo</t>
        </is>
      </c>
      <c r="G7" s="4" t="inlineStr">
        <is>
          <t>Empréstimo</t>
        </is>
      </c>
      <c r="H7" s="4" t="inlineStr">
        <is>
          <t>Modelo linha 6</t>
        </is>
      </c>
    </row>
    <row r="8">
      <c r="A8" s="4" t="inlineStr">
        <is>
          <t>Bionexo S.A</t>
        </is>
      </c>
      <c r="B8" s="4" t="inlineStr">
        <is>
          <t>Portal</t>
        </is>
      </c>
      <c r="C8" s="5" t="n">
        <v>120</v>
      </c>
      <c r="D8" s="5" t="n">
        <v>280.81</v>
      </c>
      <c r="E8" s="4" t="inlineStr">
        <is>
          <t>Encontrado no modelo</t>
        </is>
      </c>
      <c r="F8" s="4" t="inlineStr">
        <is>
          <t>Portal de compra</t>
        </is>
      </c>
      <c r="G8" s="4" t="inlineStr">
        <is>
          <t>Portal de compra</t>
        </is>
      </c>
      <c r="H8" s="4" t="inlineStr">
        <is>
          <t>Modelo linha 7</t>
        </is>
      </c>
    </row>
    <row r="9">
      <c r="A9" s="4" t="inlineStr">
        <is>
          <t>BLING - Organisys Software</t>
        </is>
      </c>
      <c r="B9" s="4" t="inlineStr">
        <is>
          <t>Portal</t>
        </is>
      </c>
      <c r="C9" s="5" t="n">
        <v>120</v>
      </c>
      <c r="D9" s="5" t="n">
        <v>120</v>
      </c>
      <c r="E9" s="4" t="inlineStr">
        <is>
          <t>Encontrado no modelo</t>
        </is>
      </c>
      <c r="F9" s="4" t="inlineStr">
        <is>
          <t>Internet/Sistemas</t>
        </is>
      </c>
      <c r="G9" s="4" t="inlineStr">
        <is>
          <t>Software/ERP</t>
        </is>
      </c>
      <c r="H9" s="4" t="inlineStr">
        <is>
          <t>Modelo linha 8</t>
        </is>
      </c>
    </row>
    <row r="10">
      <c r="A10" s="2" t="inlineStr">
        <is>
          <t>Bruna</t>
        </is>
      </c>
      <c r="B10" s="2" t="inlineStr">
        <is>
          <t>Designer</t>
        </is>
      </c>
      <c r="C10" s="3" t="n">
        <v>270</v>
      </c>
      <c r="D10" s="3" t="n"/>
      <c r="E10" s="2" t="inlineStr">
        <is>
          <t>Novo (não está no modelo)</t>
        </is>
      </c>
      <c r="F10" s="2" t="inlineStr">
        <is>
          <t>Serviços</t>
        </is>
      </c>
      <c r="G10" s="2" t="inlineStr">
        <is>
          <t>Designer</t>
        </is>
      </c>
      <c r="H10" s="2" t="inlineStr">
        <is>
          <t>Preencher só com a planilha nova</t>
        </is>
      </c>
    </row>
    <row r="11">
      <c r="A11" s="4" t="inlineStr">
        <is>
          <t>Camila Barbosa Tannure</t>
        </is>
      </c>
      <c r="B11" s="4" t="inlineStr">
        <is>
          <t>Cesta básica</t>
        </is>
      </c>
      <c r="C11" s="5" t="n">
        <v>120</v>
      </c>
      <c r="D11" s="5" t="n">
        <v>120</v>
      </c>
      <c r="E11" s="4" t="inlineStr">
        <is>
          <t>Encontrado no modelo</t>
        </is>
      </c>
      <c r="F11" s="4" t="inlineStr">
        <is>
          <t>Pessoal</t>
        </is>
      </c>
      <c r="G11" s="4" t="inlineStr">
        <is>
          <t>Cesta básica</t>
        </is>
      </c>
      <c r="H11" s="4" t="inlineStr">
        <is>
          <t>Modelo linha 9</t>
        </is>
      </c>
    </row>
    <row r="12">
      <c r="A12" s="4" t="inlineStr">
        <is>
          <t>Camila Barbosa Tannure</t>
        </is>
      </c>
      <c r="B12" s="4" t="inlineStr">
        <is>
          <t>Salário</t>
        </is>
      </c>
      <c r="C12" s="5" t="n">
        <v>2401.36</v>
      </c>
      <c r="D12" s="5" t="n">
        <v>2300</v>
      </c>
      <c r="E12" s="4" t="inlineStr">
        <is>
          <t>Encontrado no modelo</t>
        </is>
      </c>
      <c r="F12" s="4" t="inlineStr">
        <is>
          <t>Pessoal</t>
        </is>
      </c>
      <c r="G12" s="4" t="inlineStr">
        <is>
          <t>Salário</t>
        </is>
      </c>
      <c r="H12" s="4" t="inlineStr">
        <is>
          <t>Modelo linha 10</t>
        </is>
      </c>
    </row>
    <row r="13">
      <c r="A13" s="2" t="inlineStr">
        <is>
          <t>Camila Barbosa Tannure</t>
        </is>
      </c>
      <c r="B13" s="2" t="inlineStr">
        <is>
          <t>Diferença salarial</t>
        </is>
      </c>
      <c r="C13" s="3" t="n">
        <v>87.36</v>
      </c>
      <c r="D13" s="3" t="n"/>
      <c r="E13" s="2" t="inlineStr">
        <is>
          <t>Novo (não está no modelo)</t>
        </is>
      </c>
      <c r="F13" s="2" t="inlineStr">
        <is>
          <t>Pessoal</t>
        </is>
      </c>
      <c r="G13" s="2" t="inlineStr">
        <is>
          <t>Salário</t>
        </is>
      </c>
      <c r="H13" s="2" t="inlineStr">
        <is>
          <t>Preencher só com a planilha nova</t>
        </is>
      </c>
    </row>
    <row r="14">
      <c r="A14" s="4" t="inlineStr">
        <is>
          <t>Carlos Roberto Ribeiro de Freitas</t>
        </is>
      </c>
      <c r="B14" s="4" t="inlineStr">
        <is>
          <t>Salário</t>
        </is>
      </c>
      <c r="C14" s="5" t="n">
        <v>420</v>
      </c>
      <c r="D14" s="5" t="n">
        <v>420</v>
      </c>
      <c r="E14" s="4" t="inlineStr">
        <is>
          <t>Encontrado no modelo</t>
        </is>
      </c>
      <c r="F14" s="4" t="inlineStr">
        <is>
          <t>Pessoal</t>
        </is>
      </c>
      <c r="G14" s="4" t="inlineStr">
        <is>
          <t>Salário</t>
        </is>
      </c>
      <c r="H14" s="4" t="inlineStr">
        <is>
          <t>Modelo linha 12</t>
        </is>
      </c>
    </row>
    <row r="15">
      <c r="A15" s="4" t="inlineStr">
        <is>
          <t>Cemig Distribuição S.A</t>
        </is>
      </c>
      <c r="B15" s="4" t="inlineStr">
        <is>
          <t>Energia</t>
        </is>
      </c>
      <c r="C15" s="5" t="n">
        <v>384.24</v>
      </c>
      <c r="D15" s="5" t="n">
        <v>384.24</v>
      </c>
      <c r="E15" s="4" t="inlineStr">
        <is>
          <t>Encontrado no modelo</t>
        </is>
      </c>
      <c r="F15" s="4" t="inlineStr">
        <is>
          <t>Luz</t>
        </is>
      </c>
      <c r="G15" s="4" t="inlineStr">
        <is>
          <t>Cemig</t>
        </is>
      </c>
      <c r="H15" s="4" t="inlineStr">
        <is>
          <t>Modelo linha 13</t>
        </is>
      </c>
    </row>
    <row r="16">
      <c r="A16" s="2" t="inlineStr">
        <is>
          <t>Cert Time</t>
        </is>
      </c>
      <c r="B16" s="2" t="inlineStr">
        <is>
          <t>Certificado</t>
        </is>
      </c>
      <c r="C16" s="3" t="n">
        <v>120</v>
      </c>
      <c r="D16" s="3" t="n"/>
      <c r="E16" s="2" t="inlineStr">
        <is>
          <t>Novo (não está no modelo)</t>
        </is>
      </c>
      <c r="F16" s="2" t="inlineStr">
        <is>
          <t>Outros</t>
        </is>
      </c>
      <c r="G16" s="2" t="inlineStr">
        <is>
          <t>Certificado</t>
        </is>
      </c>
      <c r="H16" s="2" t="inlineStr">
        <is>
          <t>Preencher só com a planilha nova</t>
        </is>
      </c>
    </row>
    <row r="17">
      <c r="A17" s="2" t="inlineStr">
        <is>
          <t>Clicheria Blumenau</t>
        </is>
      </c>
      <c r="B17" s="2" t="inlineStr">
        <is>
          <t>Clichê</t>
        </is>
      </c>
      <c r="C17" s="3" t="n">
        <v>137.34</v>
      </c>
      <c r="D17" s="3" t="n"/>
      <c r="E17" s="2" t="inlineStr">
        <is>
          <t>Novo (não está no modelo)</t>
        </is>
      </c>
      <c r="F17" s="2" t="inlineStr">
        <is>
          <t>Produção</t>
        </is>
      </c>
      <c r="G17" s="2" t="inlineStr">
        <is>
          <t>Clichê</t>
        </is>
      </c>
      <c r="H17" s="2" t="inlineStr">
        <is>
          <t>Preencher só com a planilha nova</t>
        </is>
      </c>
    </row>
    <row r="18">
      <c r="A18" s="4" t="inlineStr">
        <is>
          <t>Copasa</t>
        </is>
      </c>
      <c r="B18" s="4" t="inlineStr">
        <is>
          <t>Água</t>
        </is>
      </c>
      <c r="C18" s="5" t="n">
        <v>93.58</v>
      </c>
      <c r="D18" s="5" t="n">
        <v>158.19</v>
      </c>
      <c r="E18" s="4" t="inlineStr">
        <is>
          <t>Encontrado no modelo</t>
        </is>
      </c>
      <c r="F18" s="4" t="inlineStr">
        <is>
          <t>Água</t>
        </is>
      </c>
      <c r="G18" s="4" t="inlineStr">
        <is>
          <t>Copasa</t>
        </is>
      </c>
      <c r="H18" s="4" t="inlineStr">
        <is>
          <t>Modelo linha 14</t>
        </is>
      </c>
    </row>
    <row r="19">
      <c r="A19" s="4" t="inlineStr">
        <is>
          <t>Daniel Nascimento da Silva Gontijo</t>
        </is>
      </c>
      <c r="B19" s="4" t="inlineStr">
        <is>
          <t>Pro-labore Jun 26</t>
        </is>
      </c>
      <c r="C19" s="5" t="n">
        <v>13000</v>
      </c>
      <c r="D19" s="5" t="n">
        <v>13000</v>
      </c>
      <c r="E19" s="4" t="inlineStr">
        <is>
          <t>Encontrado no modelo</t>
        </is>
      </c>
      <c r="F19" s="4" t="inlineStr">
        <is>
          <t>Pró-labore</t>
        </is>
      </c>
      <c r="G19" s="4" t="inlineStr">
        <is>
          <t>Pró-labore</t>
        </is>
      </c>
      <c r="H19" s="4" t="inlineStr">
        <is>
          <t>Modelo linha 15</t>
        </is>
      </c>
    </row>
    <row r="20">
      <c r="A20" s="4" t="inlineStr">
        <is>
          <t>Diego Alexandre Freitas dos Santos</t>
        </is>
      </c>
      <c r="B20" s="4" t="inlineStr">
        <is>
          <t>Cesta básica</t>
        </is>
      </c>
      <c r="C20" s="5" t="n">
        <v>120</v>
      </c>
      <c r="D20" s="5" t="n">
        <v>120</v>
      </c>
      <c r="E20" s="4" t="inlineStr">
        <is>
          <t>Encontrado no modelo</t>
        </is>
      </c>
      <c r="F20" s="4" t="inlineStr">
        <is>
          <t>Pessoal</t>
        </is>
      </c>
      <c r="G20" s="4" t="inlineStr">
        <is>
          <t>Cesta básica</t>
        </is>
      </c>
      <c r="H20" s="4" t="inlineStr">
        <is>
          <t>Modelo linha 17</t>
        </is>
      </c>
    </row>
    <row r="21">
      <c r="A21" s="4" t="inlineStr">
        <is>
          <t>Diego Alexandre Freitas dos Santos</t>
        </is>
      </c>
      <c r="B21" s="4" t="inlineStr">
        <is>
          <t>Salário</t>
        </is>
      </c>
      <c r="C21" s="5" t="n">
        <v>1588</v>
      </c>
      <c r="D21" s="5" t="n">
        <v>1529</v>
      </c>
      <c r="E21" s="4" t="inlineStr">
        <is>
          <t>Encontrado no modelo</t>
        </is>
      </c>
      <c r="F21" s="4" t="inlineStr">
        <is>
          <t>Pessoal</t>
        </is>
      </c>
      <c r="G21" s="4" t="inlineStr">
        <is>
          <t>Salário</t>
        </is>
      </c>
      <c r="H21" s="4" t="inlineStr">
        <is>
          <t>Modelo linha 18</t>
        </is>
      </c>
    </row>
    <row r="22">
      <c r="A22" s="4" t="inlineStr">
        <is>
          <t>Diego Alexandre Freitas dos Santos</t>
        </is>
      </c>
      <c r="B22" s="4" t="inlineStr">
        <is>
          <t>Vale transporte Jul/26</t>
        </is>
      </c>
      <c r="C22" s="5" t="n">
        <v>250</v>
      </c>
      <c r="D22" s="5" t="n">
        <v>262.5</v>
      </c>
      <c r="E22" s="4" t="inlineStr">
        <is>
          <t>Encontrado no modelo</t>
        </is>
      </c>
      <c r="F22" s="4" t="inlineStr">
        <is>
          <t>Pessoal</t>
        </is>
      </c>
      <c r="G22" s="4" t="inlineStr">
        <is>
          <t>Vale transporte</t>
        </is>
      </c>
      <c r="H22" s="4" t="inlineStr">
        <is>
          <t>Modelo linha 19</t>
        </is>
      </c>
    </row>
    <row r="23">
      <c r="A23" s="2" t="inlineStr">
        <is>
          <t>Diego Alexandre Freitas dos Santos</t>
        </is>
      </c>
      <c r="B23" s="2" t="inlineStr">
        <is>
          <t>Diferença salarial</t>
        </is>
      </c>
      <c r="C23" s="3" t="n">
        <v>379</v>
      </c>
      <c r="D23" s="3" t="n"/>
      <c r="E23" s="2" t="inlineStr">
        <is>
          <t>Novo (não está no modelo)</t>
        </is>
      </c>
      <c r="F23" s="2" t="inlineStr">
        <is>
          <t>Pessoal</t>
        </is>
      </c>
      <c r="G23" s="2" t="inlineStr">
        <is>
          <t>Salário</t>
        </is>
      </c>
      <c r="H23" s="2" t="inlineStr">
        <is>
          <t>Preencher só com a planilha nova</t>
        </is>
      </c>
    </row>
    <row r="24">
      <c r="A24" s="2" t="inlineStr">
        <is>
          <t>Enx</t>
        </is>
      </c>
      <c r="B24" s="2" t="inlineStr">
        <is>
          <t>Internet</t>
        </is>
      </c>
      <c r="C24" s="3" t="n">
        <v>94.90000000000001</v>
      </c>
      <c r="D24" s="3" t="n"/>
      <c r="E24" s="2" t="inlineStr">
        <is>
          <t>Novo (não está no modelo)</t>
        </is>
      </c>
      <c r="F24" s="2" t="inlineStr">
        <is>
          <t>Internet/Sistemas</t>
        </is>
      </c>
      <c r="G24" s="2" t="inlineStr">
        <is>
          <t>Internet</t>
        </is>
      </c>
      <c r="H24" s="2" t="inlineStr">
        <is>
          <t>Preencher só com a planilha nova</t>
        </is>
      </c>
    </row>
    <row r="25">
      <c r="A25" s="2" t="inlineStr">
        <is>
          <t>Flexometal</t>
        </is>
      </c>
      <c r="B25" s="2" t="inlineStr">
        <is>
          <t>Investimento</t>
        </is>
      </c>
      <c r="C25" s="3" t="n">
        <v>1774.84</v>
      </c>
      <c r="D25" s="3" t="n"/>
      <c r="E25" s="2" t="inlineStr">
        <is>
          <t>Novo (não está no modelo)</t>
        </is>
      </c>
      <c r="F25" s="2" t="inlineStr">
        <is>
          <t>Investimento</t>
        </is>
      </c>
      <c r="G25" s="2" t="inlineStr">
        <is>
          <t>Investimento</t>
        </is>
      </c>
      <c r="H25" s="2" t="inlineStr">
        <is>
          <t>Preencher só com a planilha nova</t>
        </is>
      </c>
    </row>
    <row r="26">
      <c r="A26" s="2" t="inlineStr">
        <is>
          <t>HDI</t>
        </is>
      </c>
      <c r="B26" s="2" t="inlineStr">
        <is>
          <t>Seguro de Vida</t>
        </is>
      </c>
      <c r="C26" s="3" t="n">
        <v>232.69</v>
      </c>
      <c r="D26" s="3" t="n"/>
      <c r="E26" s="2" t="inlineStr">
        <is>
          <t>Novo (não está no modelo)</t>
        </is>
      </c>
      <c r="F26" s="2" t="inlineStr">
        <is>
          <t>Pessoal</t>
        </is>
      </c>
      <c r="G26" s="2" t="inlineStr">
        <is>
          <t>Seguro de vida</t>
        </is>
      </c>
      <c r="H26" s="2" t="inlineStr">
        <is>
          <t>Preencher só com a planilha nova</t>
        </is>
      </c>
    </row>
    <row r="27">
      <c r="A27" s="4" t="inlineStr">
        <is>
          <t>Henrique Vilarino - Corretor</t>
        </is>
      </c>
      <c r="B27" s="4" t="inlineStr">
        <is>
          <t>Aluguel Galpão</t>
        </is>
      </c>
      <c r="C27" s="5" t="n">
        <v>3454.47</v>
      </c>
      <c r="D27" s="5" t="n">
        <v>3454.47</v>
      </c>
      <c r="E27" s="4" t="inlineStr">
        <is>
          <t>Encontrado no modelo</t>
        </is>
      </c>
      <c r="F27" s="4" t="inlineStr">
        <is>
          <t>Aluguel</t>
        </is>
      </c>
      <c r="G27" s="4" t="inlineStr">
        <is>
          <t>Aluguel</t>
        </is>
      </c>
      <c r="H27" s="4" t="inlineStr">
        <is>
          <t>Modelo linha 20</t>
        </is>
      </c>
    </row>
    <row r="28">
      <c r="A28" s="4" t="inlineStr">
        <is>
          <t>Juscinei Lopes Macedo</t>
        </is>
      </c>
      <c r="B28" s="4" t="inlineStr">
        <is>
          <t>Cesta básica</t>
        </is>
      </c>
      <c r="C28" s="5" t="n">
        <v>120</v>
      </c>
      <c r="D28" s="5" t="n">
        <v>120</v>
      </c>
      <c r="E28" s="4" t="inlineStr">
        <is>
          <t>Encontrado no modelo</t>
        </is>
      </c>
      <c r="F28" s="4" t="inlineStr">
        <is>
          <t>Pessoal</t>
        </is>
      </c>
      <c r="G28" s="4" t="inlineStr">
        <is>
          <t>Cesta básica</t>
        </is>
      </c>
      <c r="H28" s="4" t="inlineStr">
        <is>
          <t>Modelo linha 21</t>
        </is>
      </c>
    </row>
    <row r="29">
      <c r="A29" s="4" t="inlineStr">
        <is>
          <t>Juscinei Lopes Macedo</t>
        </is>
      </c>
      <c r="B29" s="4" t="inlineStr">
        <is>
          <t>Salário</t>
        </is>
      </c>
      <c r="C29" s="5" t="n">
        <v>2405</v>
      </c>
      <c r="D29" s="5" t="n">
        <v>2405</v>
      </c>
      <c r="E29" s="4" t="inlineStr">
        <is>
          <t>Encontrado no modelo</t>
        </is>
      </c>
      <c r="F29" s="4" t="inlineStr">
        <is>
          <t>Pessoal</t>
        </is>
      </c>
      <c r="G29" s="4" t="inlineStr">
        <is>
          <t>Salário</t>
        </is>
      </c>
      <c r="H29" s="4" t="inlineStr">
        <is>
          <t>Modelo linha 22</t>
        </is>
      </c>
    </row>
    <row r="30">
      <c r="A30" s="4" t="inlineStr">
        <is>
          <t>Juscinei Lopes Macedo</t>
        </is>
      </c>
      <c r="B30" s="4" t="inlineStr">
        <is>
          <t>Vale Transporte Jul/26</t>
        </is>
      </c>
      <c r="C30" s="5" t="n">
        <v>250</v>
      </c>
      <c r="D30" s="5" t="n">
        <v>250</v>
      </c>
      <c r="E30" s="4" t="inlineStr">
        <is>
          <t>Encontrado no modelo</t>
        </is>
      </c>
      <c r="F30" s="4" t="inlineStr">
        <is>
          <t>Pessoal</t>
        </is>
      </c>
      <c r="G30" s="4" t="inlineStr">
        <is>
          <t>Vale transporte</t>
        </is>
      </c>
      <c r="H30" s="4" t="inlineStr">
        <is>
          <t>Modelo linha 23</t>
        </is>
      </c>
    </row>
    <row r="31">
      <c r="A31" s="4" t="inlineStr">
        <is>
          <t>OM ASSESSORIA E CONSULTORIA CONTABIL LTDA</t>
        </is>
      </c>
      <c r="B31" s="4" t="inlineStr">
        <is>
          <t>Honorários Contábeis - Venda 1889</t>
        </is>
      </c>
      <c r="C31" s="5" t="n">
        <v>923.48</v>
      </c>
      <c r="D31" s="5" t="n">
        <v>923.48</v>
      </c>
      <c r="E31" s="4" t="inlineStr">
        <is>
          <t>Encontrado no modelo</t>
        </is>
      </c>
      <c r="F31" s="4" t="inlineStr">
        <is>
          <t>Contabilidade</t>
        </is>
      </c>
      <c r="G31" s="4" t="inlineStr">
        <is>
          <t>Honorários</t>
        </is>
      </c>
      <c r="H31" s="4" t="inlineStr">
        <is>
          <t>Modelo linha 29</t>
        </is>
      </c>
    </row>
    <row r="32">
      <c r="A32" s="4" t="inlineStr">
        <is>
          <t>Receita Federal</t>
        </is>
      </c>
      <c r="B32" s="4" t="inlineStr">
        <is>
          <t>FGTS</t>
        </is>
      </c>
      <c r="C32" s="5" t="n">
        <v>804.54</v>
      </c>
      <c r="D32" s="5" t="n">
        <v>1658.59</v>
      </c>
      <c r="E32" s="4" t="inlineStr">
        <is>
          <t>Encontrado no modelo</t>
        </is>
      </c>
      <c r="F32" s="4" t="inlineStr">
        <is>
          <t>Pessoal</t>
        </is>
      </c>
      <c r="G32" s="4" t="inlineStr">
        <is>
          <t>Encargos sociais (INSS/FGTS)</t>
        </is>
      </c>
      <c r="H32" s="4" t="inlineStr">
        <is>
          <t>2 linhas no modelo somadas</t>
        </is>
      </c>
    </row>
    <row r="33">
      <c r="A33" s="2" t="inlineStr">
        <is>
          <t>Receita Federal</t>
        </is>
      </c>
      <c r="B33" s="2" t="inlineStr">
        <is>
          <t>INSS</t>
        </is>
      </c>
      <c r="C33" s="3" t="n">
        <v>892.71</v>
      </c>
      <c r="D33" s="3" t="n"/>
      <c r="E33" s="2" t="inlineStr">
        <is>
          <t>Novo (não está no modelo)</t>
        </is>
      </c>
      <c r="F33" s="2" t="inlineStr">
        <is>
          <t>Pessoal</t>
        </is>
      </c>
      <c r="G33" s="2" t="inlineStr">
        <is>
          <t>Encargos sociais (INSS/FGTS)</t>
        </is>
      </c>
      <c r="H33" s="2" t="inlineStr">
        <is>
          <t>Preencher só com a planilha nova</t>
        </is>
      </c>
    </row>
    <row r="34">
      <c r="A34" s="2" t="inlineStr">
        <is>
          <t>Receita Estadual</t>
        </is>
      </c>
      <c r="B34" s="2" t="inlineStr">
        <is>
          <t>Difal Negociação</t>
        </is>
      </c>
      <c r="C34" s="3" t="n">
        <v>727.55</v>
      </c>
      <c r="D34" s="3" t="n"/>
      <c r="E34" s="2" t="inlineStr">
        <is>
          <t>Novo (não está no modelo)</t>
        </is>
      </c>
      <c r="F34" s="2" t="inlineStr">
        <is>
          <t>Difal Negociação</t>
        </is>
      </c>
      <c r="G34" s="2" t="inlineStr">
        <is>
          <t>SEF/MG</t>
        </is>
      </c>
      <c r="H34" s="2" t="inlineStr">
        <is>
          <t>Preencher só com a planilha nova</t>
        </is>
      </c>
    </row>
    <row r="35">
      <c r="A35" s="4" t="inlineStr">
        <is>
          <t>Renato Barros e Silva</t>
        </is>
      </c>
      <c r="B35" s="4" t="inlineStr">
        <is>
          <t>Pro-labore Jun 26</t>
        </is>
      </c>
      <c r="C35" s="5" t="n">
        <v>13000</v>
      </c>
      <c r="D35" s="5" t="n">
        <v>13000</v>
      </c>
      <c r="E35" s="4" t="inlineStr">
        <is>
          <t>Encontrado no modelo</t>
        </is>
      </c>
      <c r="F35" s="4" t="inlineStr">
        <is>
          <t>Pró-labore</t>
        </is>
      </c>
      <c r="G35" s="4" t="inlineStr">
        <is>
          <t>Pró-labore</t>
        </is>
      </c>
      <c r="H35" s="4" t="inlineStr">
        <is>
          <t>Modelo linha 33</t>
        </is>
      </c>
    </row>
    <row r="36">
      <c r="A36" s="4" t="inlineStr">
        <is>
          <t>Rosa Amailes</t>
        </is>
      </c>
      <c r="B36" s="4" t="inlineStr">
        <is>
          <t>Empréstimo</t>
        </is>
      </c>
      <c r="C36" s="5" t="n">
        <v>1205</v>
      </c>
      <c r="D36" s="5" t="n">
        <v>1205</v>
      </c>
      <c r="E36" s="4" t="inlineStr">
        <is>
          <t>Encontrado no modelo</t>
        </is>
      </c>
      <c r="F36" s="4" t="inlineStr">
        <is>
          <t>Empréstimo Rosa Amasiles</t>
        </is>
      </c>
      <c r="G36" s="4" t="inlineStr">
        <is>
          <t>Empréstimo</t>
        </is>
      </c>
      <c r="H36" s="4" t="inlineStr">
        <is>
          <t>Modelo linha 34</t>
        </is>
      </c>
    </row>
    <row r="37">
      <c r="A37" s="4" t="inlineStr">
        <is>
          <t>Secretaria de Estado de Fazenda de Minas Gerais</t>
        </is>
      </c>
      <c r="B37" s="4" t="inlineStr">
        <is>
          <t>Difal Antecipação</t>
        </is>
      </c>
      <c r="C37" s="5" t="n">
        <v>727.55</v>
      </c>
      <c r="D37" s="5" t="n">
        <v>2230.27</v>
      </c>
      <c r="E37" s="4" t="inlineStr">
        <is>
          <t>Encontrado no modelo</t>
        </is>
      </c>
      <c r="F37" s="4" t="inlineStr">
        <is>
          <t>Difal Antecipação</t>
        </is>
      </c>
      <c r="G37" s="4" t="inlineStr">
        <is>
          <t>SEF/MG</t>
        </is>
      </c>
      <c r="H37" s="4" t="inlineStr">
        <is>
          <t>Modelo linha 35</t>
        </is>
      </c>
    </row>
    <row r="38">
      <c r="A38" s="4" t="inlineStr">
        <is>
          <t>Secretaria de Estado de Fazenda de Minas Gerais</t>
        </is>
      </c>
      <c r="B38" s="4" t="inlineStr">
        <is>
          <t>Difal Negociação</t>
        </is>
      </c>
      <c r="C38" s="5" t="n">
        <v>1739.18</v>
      </c>
      <c r="D38" s="5" t="n">
        <v>1739.18</v>
      </c>
      <c r="E38" s="4" t="inlineStr">
        <is>
          <t>Encontrado no modelo</t>
        </is>
      </c>
      <c r="F38" s="4" t="inlineStr">
        <is>
          <t>Difal Negociação</t>
        </is>
      </c>
      <c r="G38" s="4" t="inlineStr">
        <is>
          <t>SEF/MG</t>
        </is>
      </c>
      <c r="H38" s="4" t="inlineStr">
        <is>
          <t>Modelo linha 37</t>
        </is>
      </c>
    </row>
    <row r="39">
      <c r="A39" s="2" t="inlineStr">
        <is>
          <t>Vendedor 1</t>
        </is>
      </c>
      <c r="B39" s="2" t="inlineStr">
        <is>
          <t>Comissão de Vendas</t>
        </is>
      </c>
      <c r="C39" s="3" t="n">
        <v>2500</v>
      </c>
      <c r="D39" s="3" t="n"/>
      <c r="E39" s="2" t="inlineStr">
        <is>
          <t>Novo (não está no modelo)</t>
        </is>
      </c>
      <c r="F39" s="2" t="inlineStr">
        <is>
          <t>Comissão de vendas</t>
        </is>
      </c>
      <c r="G39" s="2" t="inlineStr">
        <is>
          <t>Comissão de vendas</t>
        </is>
      </c>
      <c r="H39" s="2" t="inlineStr">
        <is>
          <t>Preencher só com a planilha nova</t>
        </is>
      </c>
    </row>
    <row r="40">
      <c r="A40" s="2" t="inlineStr">
        <is>
          <t>Casa dos Rolamentos</t>
        </is>
      </c>
      <c r="B40" s="2" t="inlineStr">
        <is>
          <t>Manutenção e limpeza</t>
        </is>
      </c>
      <c r="C40" s="3" t="n">
        <v>97.5</v>
      </c>
      <c r="D40" s="3" t="n"/>
      <c r="E40" s="2" t="inlineStr">
        <is>
          <t>Novo (não está no modelo)</t>
        </is>
      </c>
      <c r="F40" s="2" t="inlineStr">
        <is>
          <t>Manutenção e reparos</t>
        </is>
      </c>
      <c r="G40" s="2" t="inlineStr">
        <is>
          <t>Manutenção/Limpeza</t>
        </is>
      </c>
      <c r="H40" s="2" t="inlineStr">
        <is>
          <t>Preencher só com a planilha nova</t>
        </is>
      </c>
    </row>
    <row r="41">
      <c r="A41" s="2" t="inlineStr">
        <is>
          <t>DDGraf</t>
        </is>
      </c>
      <c r="B41" s="2" t="inlineStr">
        <is>
          <t>Tinta</t>
        </is>
      </c>
      <c r="C41" s="3" t="n">
        <v>666</v>
      </c>
      <c r="D41" s="3" t="n"/>
      <c r="E41" s="2" t="inlineStr">
        <is>
          <t>Novo (não está no modelo)</t>
        </is>
      </c>
      <c r="F41" s="2" t="inlineStr">
        <is>
          <t>Produção</t>
        </is>
      </c>
      <c r="G41" s="2" t="inlineStr">
        <is>
          <t>Tinta</t>
        </is>
      </c>
      <c r="H41" s="2" t="inlineStr">
        <is>
          <t>Preencher só com a planilha nova</t>
        </is>
      </c>
    </row>
    <row r="42">
      <c r="A42" s="2" t="inlineStr">
        <is>
          <t>Casa do EPI</t>
        </is>
      </c>
      <c r="B42" s="2" t="inlineStr">
        <is>
          <t>EPI</t>
        </is>
      </c>
      <c r="C42" s="3" t="n">
        <v>55</v>
      </c>
      <c r="D42" s="3" t="n"/>
      <c r="E42" s="2" t="inlineStr">
        <is>
          <t>Novo (não está no modelo)</t>
        </is>
      </c>
      <c r="F42" s="2" t="inlineStr">
        <is>
          <t>Pessoal</t>
        </is>
      </c>
      <c r="G42" s="2" t="inlineStr">
        <is>
          <t>EPI</t>
        </is>
      </c>
      <c r="H42" s="2" t="inlineStr">
        <is>
          <t>Preencher só com a planilha nova</t>
        </is>
      </c>
    </row>
    <row r="43">
      <c r="A43" s="2" t="inlineStr">
        <is>
          <t>Aguarrás</t>
        </is>
      </c>
      <c r="B43" s="2" t="inlineStr">
        <is>
          <t>Manutenção e limpeza</t>
        </is>
      </c>
      <c r="C43" s="3" t="n">
        <v>50</v>
      </c>
      <c r="D43" s="3" t="n"/>
      <c r="E43" s="2" t="inlineStr">
        <is>
          <t>Novo (não está no modelo)</t>
        </is>
      </c>
      <c r="F43" s="2" t="inlineStr">
        <is>
          <t>Manutenção e reparos</t>
        </is>
      </c>
      <c r="G43" s="2" t="inlineStr">
        <is>
          <t>Manutenção/Limpeza</t>
        </is>
      </c>
      <c r="H43" s="2" t="inlineStr">
        <is>
          <t>Preencher só com a planilha nova</t>
        </is>
      </c>
    </row>
    <row r="44">
      <c r="A44" s="6" t="inlineStr">
        <is>
          <t>TOTAL</t>
        </is>
      </c>
      <c r="B44" s="6" t="n"/>
      <c r="C44" s="7">
        <f>SUM(C2:C43)</f>
        <v/>
      </c>
      <c r="D44" s="7">
        <f>SUM(D2:D43)</f>
        <v/>
      </c>
      <c r="E44" s="6" t="n"/>
      <c r="F44" s="6" t="n"/>
      <c r="G44" s="6" t="n"/>
      <c r="H44" s="6" t="n"/>
    </row>
  </sheetData>
  <autoFilter ref="A1: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16" customWidth="1" min="3" max="3"/>
    <col width="36" customWidth="1" min="4" max="4"/>
    <col width="26" customWidth="1" min="5" max="5"/>
    <col width="26" customWidth="1" min="6" max="6"/>
  </cols>
  <sheetData>
    <row r="1" ht="28" customHeight="1">
      <c r="A1" s="1" t="inlineStr">
        <is>
          <t>Fornecedor</t>
        </is>
      </c>
      <c r="B1" s="1" t="inlineStr">
        <is>
          <t>Histórico</t>
        </is>
      </c>
      <c r="C1" s="1" t="inlineStr">
        <is>
          <t>Valor no modelo</t>
        </is>
      </c>
      <c r="D1" s="1" t="inlineStr">
        <is>
          <t>Relação</t>
        </is>
      </c>
      <c r="E1" s="1" t="inlineStr">
        <is>
          <t>Categoria</t>
        </is>
      </c>
      <c r="F1" s="1" t="inlineStr">
        <is>
          <t>Subcategoria</t>
        </is>
      </c>
    </row>
    <row r="2">
      <c r="A2" s="2" t="inlineStr">
        <is>
          <t>Camila Barbosa Tannure</t>
        </is>
      </c>
      <c r="B2" s="2" t="inlineStr">
        <is>
          <t>Manutenção e limpeza</t>
        </is>
      </c>
      <c r="C2" s="3" t="n">
        <v>13.99</v>
      </c>
      <c r="D2" s="2" t="inlineStr">
        <is>
          <t>Só no modelo (não veio em ago/2026)</t>
        </is>
      </c>
      <c r="E2" s="2" t="inlineStr">
        <is>
          <t>Manutenção e reparos</t>
        </is>
      </c>
      <c r="F2" s="2" t="inlineStr">
        <is>
          <t>Manutenção/Limpeza</t>
        </is>
      </c>
    </row>
    <row r="3">
      <c r="A3" s="2" t="inlineStr">
        <is>
          <t>Daniel Nascimento da Silva Gontijo</t>
        </is>
      </c>
      <c r="B3" s="2" t="inlineStr">
        <is>
          <t>Despesas comerciais</t>
        </is>
      </c>
      <c r="C3" s="3" t="n">
        <v>150</v>
      </c>
      <c r="D3" s="2" t="inlineStr">
        <is>
          <t>Só no modelo (não veio em ago/2026)</t>
        </is>
      </c>
      <c r="E3" s="2" t="inlineStr">
        <is>
          <t>Visita cliente</t>
        </is>
      </c>
      <c r="F3" s="2" t="inlineStr">
        <is>
          <t>Despesas comerciais</t>
        </is>
      </c>
    </row>
    <row r="4">
      <c r="A4" s="2" t="inlineStr">
        <is>
          <t>Juscinei Lopes Macedo</t>
        </is>
      </c>
      <c r="B4" s="2" t="inlineStr">
        <is>
          <t>Férias</t>
        </is>
      </c>
      <c r="C4" s="3" t="n">
        <v>466.67</v>
      </c>
      <c r="D4" s="2" t="inlineStr">
        <is>
          <t>Só no modelo (não veio em ago/2026)</t>
        </is>
      </c>
      <c r="E4" s="2" t="inlineStr">
        <is>
          <t>Pessoal</t>
        </is>
      </c>
      <c r="F4" s="2" t="inlineStr">
        <is>
          <t>Salário/Férias</t>
        </is>
      </c>
    </row>
    <row r="5">
      <c r="A5" s="2" t="inlineStr">
        <is>
          <t>Maria Maira do Carmo Barbosa Carrusca</t>
        </is>
      </c>
      <c r="B5" s="2" t="inlineStr">
        <is>
          <t>Salário</t>
        </is>
      </c>
      <c r="C5" s="3" t="n">
        <v>1730</v>
      </c>
      <c r="D5" s="2" t="inlineStr">
        <is>
          <t>Só no modelo (não veio em ago/2026)</t>
        </is>
      </c>
      <c r="E5" s="2" t="inlineStr">
        <is>
          <t>Pessoal</t>
        </is>
      </c>
      <c r="F5" s="2" t="inlineStr">
        <is>
          <t>Salário</t>
        </is>
      </c>
    </row>
    <row r="6">
      <c r="A6" s="2" t="inlineStr">
        <is>
          <t>Maria Maira do Carmo Barbosa Carrusca</t>
        </is>
      </c>
      <c r="B6" s="2" t="inlineStr">
        <is>
          <t>Frete</t>
        </is>
      </c>
      <c r="C6" s="3" t="n">
        <v>34</v>
      </c>
      <c r="D6" s="2" t="inlineStr">
        <is>
          <t>Só no modelo (não veio em ago/2026)</t>
        </is>
      </c>
      <c r="E6" s="2" t="inlineStr">
        <is>
          <t>Outros</t>
        </is>
      </c>
      <c r="F6" s="2" t="inlineStr">
        <is>
          <t>Frete/Diversos</t>
        </is>
      </c>
    </row>
    <row r="7">
      <c r="A7" s="2" t="inlineStr">
        <is>
          <t>Maria Maira do Carmo Barbosa Carrusca</t>
        </is>
      </c>
      <c r="B7" s="2" t="inlineStr">
        <is>
          <t>Rescisão</t>
        </is>
      </c>
      <c r="C7" s="3" t="n">
        <v>4723</v>
      </c>
      <c r="D7" s="2" t="inlineStr">
        <is>
          <t>Só no modelo (não veio em ago/2026)</t>
        </is>
      </c>
      <c r="E7" s="2" t="inlineStr">
        <is>
          <t>Pessoal</t>
        </is>
      </c>
      <c r="F7" s="2" t="inlineStr">
        <is>
          <t>Salário/Rescisão</t>
        </is>
      </c>
    </row>
    <row r="8">
      <c r="A8" s="2" t="inlineStr">
        <is>
          <t>OM Assessoria</t>
        </is>
      </c>
      <c r="B8" s="2" t="inlineStr">
        <is>
          <t>Honorário Contabilidade</t>
        </is>
      </c>
      <c r="C8" s="3" t="n">
        <v>864.76</v>
      </c>
      <c r="D8" s="2" t="inlineStr">
        <is>
          <t>Só no modelo (não veio em ago/2026)</t>
        </is>
      </c>
      <c r="E8" s="2" t="inlineStr">
        <is>
          <t>Contabilidade</t>
        </is>
      </c>
      <c r="F8" s="2" t="inlineStr">
        <is>
          <t>Honorários</t>
        </is>
      </c>
    </row>
    <row r="9">
      <c r="A9" s="2" t="inlineStr">
        <is>
          <t>Receita Federal</t>
        </is>
      </c>
      <c r="B9" s="2" t="inlineStr">
        <is>
          <t>Difal Negociação</t>
        </is>
      </c>
      <c r="C9" s="3" t="n">
        <v>768.46</v>
      </c>
      <c r="D9" s="2" t="inlineStr">
        <is>
          <t>Só no modelo (não veio em ago/2026)</t>
        </is>
      </c>
      <c r="E9" s="2" t="inlineStr">
        <is>
          <t>Difal Negociação</t>
        </is>
      </c>
      <c r="F9" s="2" t="inlineStr">
        <is>
          <t>SEF/MG</t>
        </is>
      </c>
    </row>
    <row r="10">
      <c r="A10" s="2" t="inlineStr">
        <is>
          <t>Secretaria de Estado de Fazenda de Minas Gerais</t>
        </is>
      </c>
      <c r="B10" s="2" t="inlineStr">
        <is>
          <t>Simples Nacional</t>
        </is>
      </c>
      <c r="C10" s="3" t="n">
        <v>12460.05</v>
      </c>
      <c r="D10" s="2" t="inlineStr">
        <is>
          <t>Só no modelo (não veio em ago/2026)</t>
        </is>
      </c>
      <c r="E10" s="2" t="inlineStr">
        <is>
          <t>Fora do caixa (já no imposto)</t>
        </is>
      </c>
      <c r="F10" s="2" t="inlineStr">
        <is>
          <t>EXCLUIR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8" customHeight="1">
      <c r="A1" s="1" t="inlineStr">
        <is>
          <t>Indicador</t>
        </is>
      </c>
      <c r="B1" s="1" t="inlineStr">
        <is>
          <t>Quantidade / Valor</t>
        </is>
      </c>
    </row>
    <row r="2">
      <c r="A2" s="8" t="inlineStr">
        <is>
          <t>Linhas na planilha nova</t>
        </is>
      </c>
      <c r="B2" s="8" t="n">
        <v>42</v>
      </c>
    </row>
    <row r="3">
      <c r="A3" s="8" t="inlineStr">
        <is>
          <t>Encontradas no modelo (células preenchidas)</t>
        </is>
      </c>
      <c r="B3" s="8" t="n">
        <v>25</v>
      </c>
    </row>
    <row r="4">
      <c r="A4" s="8" t="inlineStr">
        <is>
          <t>Novas em ago/2026 (sem par no modelo)</t>
        </is>
      </c>
      <c r="B4" s="8" t="n">
        <v>17</v>
      </c>
    </row>
    <row r="5">
      <c r="A5" s="8" t="inlineStr">
        <is>
          <t>Só no modelo (não vieram em ago/2026)</t>
        </is>
      </c>
      <c r="B5" s="8" t="n">
        <v>9</v>
      </c>
    </row>
    <row r="6">
      <c r="A6" s="8" t="inlineStr">
        <is>
          <t>Total ago/2026</t>
        </is>
      </c>
      <c r="B6" s="9" t="n">
        <v>59994.25</v>
      </c>
    </row>
    <row r="7">
      <c r="A7" s="8" t="inlineStr">
        <is>
          <t>Total do modelo nas linhas casadas</t>
        </is>
      </c>
      <c r="B7" s="9" t="n">
        <v>53625.71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2026-09-18T12:56:24Z</dcterms:created>
  <dcterms:modified xsi:type="dcterms:W3CDTF">2026-09-18T12:56:24Z</dcterms:modified>
</cp:coreProperties>
</file>