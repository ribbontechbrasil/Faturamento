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<sst xmlns="http://schemas.openxmlformats.org/spreadsheetml/2006/main" count="379" uniqueCount="151">
  <si>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</si>
  <si>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</si>
  <si>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</si>
  <si>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</si>
  <si>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</si>
  <si>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</si>
  <si>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</si>
  <si>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</si>
  <si>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</si>
  <si>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</si>
  <si>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</si>
  <si>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</si>
  <si>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</si>
  <si>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</si>
  <si>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</si>
  <si>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</si>
  <si>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</si>
  <si>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</si>
  <si>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</si>
  <si>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</si>
  <si>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</si>
  <si>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</si>
  <si>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</si>
  <si>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ver com Camila - Renato conferiu</t>
  </si>
  <si>
    <t>FRANCAP</t>
  </si>
  <si>
    <t>ETBOPP80185</t>
  </si>
  <si>
    <t>FRIVASA</t>
  </si>
  <si>
    <t>Rótulo</t>
  </si>
  <si>
    <t>rot.PEAD86x165T3</t>
  </si>
  <si>
    <t>custo PEAD conferido R$ 602,40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</si>
  <si>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</si>
  <si>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</si>
  <si>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</si>
  <si>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</si>
  <si>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</si>
  <si>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</si>
  <si>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</si>
  <si>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</si>
  <si>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</si>
  <si>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</si>
  <si>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</si>
  <si>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</si>
  <si>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</si>
  <si>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</si>
  <si>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</si>
  <si>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</si>
  <si>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</si>
  <si>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</si>
  <si>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</si>
  <si>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</si>
  <si>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</si>
  <si>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</si>
  <si>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</si>
  <si>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</si>
  <si>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</si>
  <si>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</si>
  <si>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</si>
  <si>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</si>
  <si>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</si>
  <si>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</si>
  <si>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</si>
  <si>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</si>
  <si>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</si>
  <si>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</si>
  <si>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</si>
  <si>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</si>
  <si>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</si>
  <si>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</si>
  <si>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</si>
  <si>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</si>
  <si>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</si>
  <si>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</si>
  <si>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</si>
  <si>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</si>
  <si>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</si>
  <si>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</si>
  <si>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</si>
  <si>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</si>
  <si>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</si>
  <si>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</si>
  <si>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</si>
  <si>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</si>
  <si>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</si>
  <si>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</si>
  <si>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</si>
  <si>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</si>
  <si>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</si>
  <si>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</si>
  <si>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</si>
  <si>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</si>
  <si>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</si>
  <si>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</si>
  <si>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</si>
  <si>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</si>
  <si>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</si>
  <si>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</si>
  <si>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</si>
  <si>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</si>
  <si>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</si>
  <si>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</si>
  <si>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</si>
  <si>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</si>
  <si>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</si>
  <si>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</si>
  <si>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</si>
  <si>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</si>
  <si>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</si>
  <si>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</si>
  <si>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</si>
  <si>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</si>
  <si>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</si>
  <si>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</si>
  <si>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</si>
  <si>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</si>
  <si>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</si>
  <si>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</si>
  <si>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</si>
  <si>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</si>
  <si>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</si>
  <si>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</si>
  <si>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</si>
  <si>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</si>
  <si>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</si>
  <si>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</si>
  <si>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</si>
  <si>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</si>
  <si>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</si>
  <si>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</si>
  <si>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</si>
  <si>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</si>
  <si>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</si>
  <si>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</si>
  <si>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</si>
  <si>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</si>
  <si>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</si>
  <si>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</si>
  <si>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</si>
  <si>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</si>
  <si>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</si>
  <si>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</si>
  <si>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</si>
  <si>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</si>
  <si>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</si>
  <si>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</si>
  <si>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</si>
  <si>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</si>
  <si>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</si>
  <si>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</si>
  <si>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</si>
  <si>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</si>
  <si>
    <t>venda líquida conferida R$ 1.024,56 (coluna T usava Custo Unit. teórico)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</si>
</sst>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4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v>1024.56</v>
      </c>
      <c r="U2" s="19">
        <v>1024.56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150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21.09</v>
      </c>
      <c r="O3" s="15">
        <f t="shared" si="2"/>
        <v>0.70900977959477918</v>
      </c>
      <c r="P3" s="16">
        <f t="shared" si="3"/>
        <v>3163.5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ref="U3:U65" si="5">Q3-P3-R3-S3</f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>
        <v>37.65</v>
      </c>
      <c r="O4" s="15">
        <f t="shared" si="2"/>
        <v>0</v>
      </c>
      <c r="P4" s="50">
        <v>602.4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/>
      <c r="O5" s="15">
        <f t="shared" si="2"/>
        <v>0</v>
      </c>
      <c r="P5" s="50">
        <v>1800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33.6</v>
      </c>
      <c r="O70" s="24"/>
      <c r="P70" s="16">
        <f t="shared" si="10"/>
        <v>19353.6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6684.4528</v>
      </c>
      <c r="U70" s="19">
        <f t="shared" si="12"/>
        <v>6684.4528</v>
      </c>
      <c r="V70" s="21">
        <f t="shared" si="13"/>
        <v>0.345385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