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Ribbontech\Inteligência Artificial\Ago 26\"/>
    </mc:Choice>
  </mc:AlternateContent>
  <xr:revisionPtr revIDLastSave="0" documentId="13_ncr:1_{8C39794D-06FB-43DC-97EC-DC01BAF94289}" xr6:coauthVersionLast="47" xr6:coauthVersionMax="47" xr10:uidLastSave="{00000000-0000-0000-0000-000000000000}"/>
  <bookViews>
    <workbookView xWindow="-110" yWindow="-110" windowWidth="19420" windowHeight="10300" xr2:uid="{26019CB5-5719-443D-B665-9276A844859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32" i="1" l="1"/>
  <c r="Q132" i="1"/>
  <c r="Q134" i="1" s="1"/>
  <c r="R132" i="1"/>
  <c r="T5" i="1"/>
  <c r="T130" i="1"/>
  <c r="S130" i="1"/>
  <c r="P130" i="1"/>
  <c r="U130" i="1" s="1"/>
  <c r="V130" i="1" s="1"/>
  <c r="O130" i="1"/>
  <c r="I130" i="1"/>
  <c r="T129" i="1"/>
  <c r="S129" i="1"/>
  <c r="P129" i="1"/>
  <c r="U129" i="1" s="1"/>
  <c r="V129" i="1" s="1"/>
  <c r="O129" i="1"/>
  <c r="I129" i="1"/>
  <c r="T128" i="1"/>
  <c r="S128" i="1"/>
  <c r="P128" i="1"/>
  <c r="U128" i="1" s="1"/>
  <c r="V128" i="1" s="1"/>
  <c r="O128" i="1"/>
  <c r="M128" i="1"/>
  <c r="I128" i="1"/>
  <c r="U127" i="1"/>
  <c r="V127" i="1" s="1"/>
  <c r="S127" i="1"/>
  <c r="P127" i="1"/>
  <c r="I127" i="1"/>
  <c r="M127" i="1" s="1"/>
  <c r="S126" i="1"/>
  <c r="P126" i="1"/>
  <c r="U126" i="1" s="1"/>
  <c r="V126" i="1" s="1"/>
  <c r="M126" i="1"/>
  <c r="T126" i="1" s="1"/>
  <c r="I126" i="1"/>
  <c r="U125" i="1"/>
  <c r="V125" i="1" s="1"/>
  <c r="S125" i="1"/>
  <c r="P125" i="1"/>
  <c r="I125" i="1"/>
  <c r="M125" i="1" s="1"/>
  <c r="S124" i="1"/>
  <c r="P124" i="1"/>
  <c r="U124" i="1" s="1"/>
  <c r="V124" i="1" s="1"/>
  <c r="M124" i="1"/>
  <c r="O124" i="1" s="1"/>
  <c r="I124" i="1"/>
  <c r="S123" i="1"/>
  <c r="U123" i="1" s="1"/>
  <c r="V123" i="1" s="1"/>
  <c r="P123" i="1"/>
  <c r="I123" i="1"/>
  <c r="M123" i="1" s="1"/>
  <c r="S122" i="1"/>
  <c r="P122" i="1"/>
  <c r="U122" i="1" s="1"/>
  <c r="V122" i="1" s="1"/>
  <c r="I122" i="1"/>
  <c r="M122" i="1" s="1"/>
  <c r="U121" i="1"/>
  <c r="V121" i="1" s="1"/>
  <c r="S121" i="1"/>
  <c r="P121" i="1"/>
  <c r="M121" i="1"/>
  <c r="T121" i="1" s="1"/>
  <c r="W121" i="1" s="1"/>
  <c r="I121" i="1"/>
  <c r="T120" i="1"/>
  <c r="S120" i="1"/>
  <c r="P120" i="1"/>
  <c r="U120" i="1" s="1"/>
  <c r="V120" i="1" s="1"/>
  <c r="O120" i="1"/>
  <c r="M120" i="1"/>
  <c r="I120" i="1"/>
  <c r="U119" i="1"/>
  <c r="V119" i="1" s="1"/>
  <c r="S119" i="1"/>
  <c r="P119" i="1"/>
  <c r="I119" i="1"/>
  <c r="M119" i="1" s="1"/>
  <c r="S118" i="1"/>
  <c r="P118" i="1"/>
  <c r="U118" i="1" s="1"/>
  <c r="V118" i="1" s="1"/>
  <c r="M118" i="1"/>
  <c r="T118" i="1" s="1"/>
  <c r="W118" i="1" s="1"/>
  <c r="I118" i="1"/>
  <c r="U117" i="1"/>
  <c r="V117" i="1" s="1"/>
  <c r="S117" i="1"/>
  <c r="P117" i="1"/>
  <c r="I117" i="1"/>
  <c r="M117" i="1" s="1"/>
  <c r="S116" i="1"/>
  <c r="P116" i="1"/>
  <c r="U116" i="1" s="1"/>
  <c r="V116" i="1" s="1"/>
  <c r="M116" i="1"/>
  <c r="O116" i="1" s="1"/>
  <c r="I116" i="1"/>
  <c r="S115" i="1"/>
  <c r="U115" i="1" s="1"/>
  <c r="V115" i="1" s="1"/>
  <c r="P115" i="1"/>
  <c r="I115" i="1"/>
  <c r="M115" i="1" s="1"/>
  <c r="S114" i="1"/>
  <c r="P114" i="1"/>
  <c r="U114" i="1" s="1"/>
  <c r="V114" i="1" s="1"/>
  <c r="I114" i="1"/>
  <c r="M114" i="1" s="1"/>
  <c r="U113" i="1"/>
  <c r="V113" i="1" s="1"/>
  <c r="S113" i="1"/>
  <c r="P113" i="1"/>
  <c r="M113" i="1"/>
  <c r="T113" i="1" s="1"/>
  <c r="W113" i="1" s="1"/>
  <c r="I113" i="1"/>
  <c r="T112" i="1"/>
  <c r="S112" i="1"/>
  <c r="P112" i="1"/>
  <c r="U112" i="1" s="1"/>
  <c r="V112" i="1" s="1"/>
  <c r="O112" i="1"/>
  <c r="M112" i="1"/>
  <c r="I112" i="1"/>
  <c r="U111" i="1"/>
  <c r="V111" i="1" s="1"/>
  <c r="S111" i="1"/>
  <c r="P111" i="1"/>
  <c r="I111" i="1"/>
  <c r="M111" i="1" s="1"/>
  <c r="S110" i="1"/>
  <c r="P110" i="1"/>
  <c r="U110" i="1" s="1"/>
  <c r="V110" i="1" s="1"/>
  <c r="M110" i="1"/>
  <c r="T110" i="1" s="1"/>
  <c r="I110" i="1"/>
  <c r="U109" i="1"/>
  <c r="V109" i="1" s="1"/>
  <c r="S109" i="1"/>
  <c r="P109" i="1"/>
  <c r="I109" i="1"/>
  <c r="M109" i="1" s="1"/>
  <c r="S108" i="1"/>
  <c r="P108" i="1"/>
  <c r="U108" i="1" s="1"/>
  <c r="V108" i="1" s="1"/>
  <c r="M108" i="1"/>
  <c r="O108" i="1" s="1"/>
  <c r="I108" i="1"/>
  <c r="S107" i="1"/>
  <c r="U107" i="1" s="1"/>
  <c r="V107" i="1" s="1"/>
  <c r="P107" i="1"/>
  <c r="I107" i="1"/>
  <c r="M107" i="1" s="1"/>
  <c r="T106" i="1"/>
  <c r="S106" i="1"/>
  <c r="P106" i="1"/>
  <c r="U106" i="1" s="1"/>
  <c r="V106" i="1" s="1"/>
  <c r="M106" i="1"/>
  <c r="O106" i="1" s="1"/>
  <c r="I106" i="1"/>
  <c r="U105" i="1"/>
  <c r="V105" i="1" s="1"/>
  <c r="S105" i="1"/>
  <c r="P105" i="1"/>
  <c r="O105" i="1"/>
  <c r="M105" i="1"/>
  <c r="T105" i="1" s="1"/>
  <c r="W105" i="1" s="1"/>
  <c r="I105" i="1"/>
  <c r="T104" i="1"/>
  <c r="S104" i="1"/>
  <c r="P104" i="1"/>
  <c r="U104" i="1" s="1"/>
  <c r="V104" i="1" s="1"/>
  <c r="O104" i="1"/>
  <c r="M104" i="1"/>
  <c r="I104" i="1"/>
  <c r="U103" i="1"/>
  <c r="V103" i="1" s="1"/>
  <c r="S103" i="1"/>
  <c r="P103" i="1"/>
  <c r="I103" i="1"/>
  <c r="M103" i="1" s="1"/>
  <c r="S102" i="1"/>
  <c r="P102" i="1"/>
  <c r="U102" i="1" s="1"/>
  <c r="V102" i="1" s="1"/>
  <c r="M102" i="1"/>
  <c r="T102" i="1" s="1"/>
  <c r="W102" i="1" s="1"/>
  <c r="I102" i="1"/>
  <c r="U101" i="1"/>
  <c r="V101" i="1" s="1"/>
  <c r="S101" i="1"/>
  <c r="P101" i="1"/>
  <c r="I101" i="1"/>
  <c r="M101" i="1" s="1"/>
  <c r="S100" i="1"/>
  <c r="P100" i="1"/>
  <c r="U100" i="1" s="1"/>
  <c r="V100" i="1" s="1"/>
  <c r="M100" i="1"/>
  <c r="O100" i="1" s="1"/>
  <c r="I100" i="1"/>
  <c r="S99" i="1"/>
  <c r="U99" i="1" s="1"/>
  <c r="V99" i="1" s="1"/>
  <c r="P99" i="1"/>
  <c r="I99" i="1"/>
  <c r="M99" i="1" s="1"/>
  <c r="T98" i="1"/>
  <c r="S98" i="1"/>
  <c r="P98" i="1"/>
  <c r="U98" i="1" s="1"/>
  <c r="V98" i="1" s="1"/>
  <c r="M98" i="1"/>
  <c r="O98" i="1" s="1"/>
  <c r="I98" i="1"/>
  <c r="U97" i="1"/>
  <c r="V97" i="1" s="1"/>
  <c r="S97" i="1"/>
  <c r="P97" i="1"/>
  <c r="O97" i="1"/>
  <c r="M97" i="1"/>
  <c r="T97" i="1" s="1"/>
  <c r="I97" i="1"/>
  <c r="T96" i="1"/>
  <c r="S96" i="1"/>
  <c r="P96" i="1"/>
  <c r="U96" i="1" s="1"/>
  <c r="V96" i="1" s="1"/>
  <c r="O96" i="1"/>
  <c r="M96" i="1"/>
  <c r="I96" i="1"/>
  <c r="U95" i="1"/>
  <c r="V95" i="1" s="1"/>
  <c r="S95" i="1"/>
  <c r="P95" i="1"/>
  <c r="I95" i="1"/>
  <c r="M95" i="1" s="1"/>
  <c r="S94" i="1"/>
  <c r="P94" i="1"/>
  <c r="U94" i="1" s="1"/>
  <c r="V94" i="1" s="1"/>
  <c r="M94" i="1"/>
  <c r="I94" i="1"/>
  <c r="U93" i="1"/>
  <c r="V93" i="1" s="1"/>
  <c r="S93" i="1"/>
  <c r="P93" i="1"/>
  <c r="U92" i="1"/>
  <c r="V92" i="1" s="1"/>
  <c r="S92" i="1"/>
  <c r="P92" i="1"/>
  <c r="U91" i="1"/>
  <c r="S91" i="1"/>
  <c r="P91" i="1"/>
  <c r="S90" i="1"/>
  <c r="U90" i="1" s="1"/>
  <c r="P90" i="1"/>
  <c r="U89" i="1"/>
  <c r="V89" i="1" s="1"/>
  <c r="S89" i="1"/>
  <c r="P89" i="1"/>
  <c r="U88" i="1"/>
  <c r="V88" i="1" s="1"/>
  <c r="S88" i="1"/>
  <c r="P88" i="1"/>
  <c r="U87" i="1"/>
  <c r="S87" i="1"/>
  <c r="P87" i="1"/>
  <c r="S86" i="1"/>
  <c r="U86" i="1" s="1"/>
  <c r="P86" i="1"/>
  <c r="U85" i="1"/>
  <c r="V85" i="1" s="1"/>
  <c r="S85" i="1"/>
  <c r="P85" i="1"/>
  <c r="U84" i="1"/>
  <c r="V84" i="1" s="1"/>
  <c r="S84" i="1"/>
  <c r="P84" i="1"/>
  <c r="U83" i="1"/>
  <c r="S83" i="1"/>
  <c r="P83" i="1"/>
  <c r="S82" i="1"/>
  <c r="U82" i="1" s="1"/>
  <c r="P82" i="1"/>
  <c r="U81" i="1"/>
  <c r="V81" i="1" s="1"/>
  <c r="S81" i="1"/>
  <c r="P81" i="1"/>
  <c r="U80" i="1"/>
  <c r="V80" i="1" s="1"/>
  <c r="S80" i="1"/>
  <c r="P80" i="1"/>
  <c r="U79" i="1"/>
  <c r="S79" i="1"/>
  <c r="P79" i="1"/>
  <c r="S78" i="1"/>
  <c r="U78" i="1" s="1"/>
  <c r="P78" i="1"/>
  <c r="U77" i="1"/>
  <c r="V77" i="1" s="1"/>
  <c r="S77" i="1"/>
  <c r="P77" i="1"/>
  <c r="U76" i="1"/>
  <c r="V76" i="1" s="1"/>
  <c r="S76" i="1"/>
  <c r="P76" i="1"/>
  <c r="U75" i="1"/>
  <c r="S75" i="1"/>
  <c r="P75" i="1"/>
  <c r="S74" i="1"/>
  <c r="U74" i="1" s="1"/>
  <c r="P74" i="1"/>
  <c r="U73" i="1"/>
  <c r="V73" i="1" s="1"/>
  <c r="S73" i="1"/>
  <c r="P73" i="1"/>
  <c r="U72" i="1"/>
  <c r="V72" i="1" s="1"/>
  <c r="S72" i="1"/>
  <c r="P72" i="1"/>
  <c r="U71" i="1"/>
  <c r="S71" i="1"/>
  <c r="P71" i="1"/>
  <c r="S70" i="1"/>
  <c r="U70" i="1" s="1"/>
  <c r="P70" i="1"/>
  <c r="U69" i="1"/>
  <c r="V69" i="1" s="1"/>
  <c r="S69" i="1"/>
  <c r="P69" i="1"/>
  <c r="U68" i="1"/>
  <c r="V68" i="1" s="1"/>
  <c r="S68" i="1"/>
  <c r="P68" i="1"/>
  <c r="U67" i="1"/>
  <c r="S67" i="1"/>
  <c r="P67" i="1"/>
  <c r="S66" i="1"/>
  <c r="U66" i="1" s="1"/>
  <c r="P66" i="1"/>
  <c r="U65" i="1"/>
  <c r="V65" i="1" s="1"/>
  <c r="S65" i="1"/>
  <c r="P65" i="1"/>
  <c r="U64" i="1"/>
  <c r="V64" i="1" s="1"/>
  <c r="S64" i="1"/>
  <c r="P64" i="1"/>
  <c r="U63" i="1"/>
  <c r="S63" i="1"/>
  <c r="P63" i="1"/>
  <c r="S62" i="1"/>
  <c r="U62" i="1" s="1"/>
  <c r="P62" i="1"/>
  <c r="U61" i="1"/>
  <c r="V61" i="1" s="1"/>
  <c r="S61" i="1"/>
  <c r="P61" i="1"/>
  <c r="U60" i="1"/>
  <c r="V60" i="1" s="1"/>
  <c r="S60" i="1"/>
  <c r="P60" i="1"/>
  <c r="U59" i="1"/>
  <c r="S59" i="1"/>
  <c r="P59" i="1"/>
  <c r="S58" i="1"/>
  <c r="U58" i="1" s="1"/>
  <c r="P58" i="1"/>
  <c r="U57" i="1"/>
  <c r="V57" i="1" s="1"/>
  <c r="S57" i="1"/>
  <c r="P57" i="1"/>
  <c r="U56" i="1"/>
  <c r="V56" i="1" s="1"/>
  <c r="S56" i="1"/>
  <c r="P56" i="1"/>
  <c r="U55" i="1"/>
  <c r="S55" i="1"/>
  <c r="P55" i="1"/>
  <c r="S54" i="1"/>
  <c r="U54" i="1" s="1"/>
  <c r="P54" i="1"/>
  <c r="U53" i="1"/>
  <c r="V53" i="1" s="1"/>
  <c r="S53" i="1"/>
  <c r="P53" i="1"/>
  <c r="U52" i="1"/>
  <c r="V52" i="1" s="1"/>
  <c r="S52" i="1"/>
  <c r="P52" i="1"/>
  <c r="U51" i="1"/>
  <c r="S51" i="1"/>
  <c r="P51" i="1"/>
  <c r="S50" i="1"/>
  <c r="U50" i="1" s="1"/>
  <c r="P50" i="1"/>
  <c r="U49" i="1"/>
  <c r="V49" i="1" s="1"/>
  <c r="S49" i="1"/>
  <c r="P49" i="1"/>
  <c r="U48" i="1"/>
  <c r="V48" i="1" s="1"/>
  <c r="S48" i="1"/>
  <c r="P48" i="1"/>
  <c r="U47" i="1"/>
  <c r="S47" i="1"/>
  <c r="P47" i="1"/>
  <c r="S46" i="1"/>
  <c r="U46" i="1" s="1"/>
  <c r="P46" i="1"/>
  <c r="U45" i="1"/>
  <c r="V45" i="1" s="1"/>
  <c r="S45" i="1"/>
  <c r="P45" i="1"/>
  <c r="U44" i="1"/>
  <c r="V44" i="1" s="1"/>
  <c r="S44" i="1"/>
  <c r="P44" i="1"/>
  <c r="U43" i="1"/>
  <c r="S43" i="1"/>
  <c r="P43" i="1"/>
  <c r="S42" i="1"/>
  <c r="U42" i="1" s="1"/>
  <c r="P42" i="1"/>
  <c r="U41" i="1"/>
  <c r="V41" i="1" s="1"/>
  <c r="S41" i="1"/>
  <c r="P41" i="1"/>
  <c r="U40" i="1"/>
  <c r="V40" i="1" s="1"/>
  <c r="S40" i="1"/>
  <c r="P40" i="1"/>
  <c r="U39" i="1"/>
  <c r="S39" i="1"/>
  <c r="P39" i="1"/>
  <c r="S38" i="1"/>
  <c r="U38" i="1" s="1"/>
  <c r="P38" i="1"/>
  <c r="U37" i="1"/>
  <c r="V37" i="1" s="1"/>
  <c r="S37" i="1"/>
  <c r="P37" i="1"/>
  <c r="U36" i="1"/>
  <c r="V36" i="1" s="1"/>
  <c r="S36" i="1"/>
  <c r="P36" i="1"/>
  <c r="U35" i="1"/>
  <c r="S35" i="1"/>
  <c r="P35" i="1"/>
  <c r="S34" i="1"/>
  <c r="U34" i="1" s="1"/>
  <c r="P34" i="1"/>
  <c r="U33" i="1"/>
  <c r="V33" i="1" s="1"/>
  <c r="S33" i="1"/>
  <c r="P33" i="1"/>
  <c r="U32" i="1"/>
  <c r="V32" i="1" s="1"/>
  <c r="S32" i="1"/>
  <c r="P32" i="1"/>
  <c r="U31" i="1"/>
  <c r="S31" i="1"/>
  <c r="P31" i="1"/>
  <c r="S30" i="1"/>
  <c r="U30" i="1" s="1"/>
  <c r="P30" i="1"/>
  <c r="U29" i="1"/>
  <c r="V29" i="1" s="1"/>
  <c r="S29" i="1"/>
  <c r="P29" i="1"/>
  <c r="U28" i="1"/>
  <c r="V28" i="1" s="1"/>
  <c r="S28" i="1"/>
  <c r="P28" i="1"/>
  <c r="U27" i="1"/>
  <c r="S27" i="1"/>
  <c r="P27" i="1"/>
  <c r="S26" i="1"/>
  <c r="U26" i="1" s="1"/>
  <c r="P26" i="1"/>
  <c r="U25" i="1"/>
  <c r="V25" i="1" s="1"/>
  <c r="S25" i="1"/>
  <c r="P25" i="1"/>
  <c r="U24" i="1"/>
  <c r="V24" i="1" s="1"/>
  <c r="S24" i="1"/>
  <c r="P24" i="1"/>
  <c r="U23" i="1"/>
  <c r="S23" i="1"/>
  <c r="P23" i="1"/>
  <c r="S22" i="1"/>
  <c r="U22" i="1" s="1"/>
  <c r="P22" i="1"/>
  <c r="U21" i="1"/>
  <c r="V21" i="1" s="1"/>
  <c r="S21" i="1"/>
  <c r="P21" i="1"/>
  <c r="U20" i="1"/>
  <c r="V20" i="1" s="1"/>
  <c r="S20" i="1"/>
  <c r="P20" i="1"/>
  <c r="U19" i="1"/>
  <c r="S19" i="1"/>
  <c r="P19" i="1"/>
  <c r="S18" i="1"/>
  <c r="U18" i="1" s="1"/>
  <c r="P18" i="1"/>
  <c r="U17" i="1"/>
  <c r="V17" i="1" s="1"/>
  <c r="S17" i="1"/>
  <c r="P17" i="1"/>
  <c r="U16" i="1"/>
  <c r="V16" i="1" s="1"/>
  <c r="S16" i="1"/>
  <c r="P16" i="1"/>
  <c r="U15" i="1"/>
  <c r="S15" i="1"/>
  <c r="P15" i="1"/>
  <c r="S14" i="1"/>
  <c r="U14" i="1" s="1"/>
  <c r="V14" i="1" s="1"/>
  <c r="P14" i="1"/>
  <c r="I14" i="1"/>
  <c r="M14" i="1" s="1"/>
  <c r="T13" i="1"/>
  <c r="S13" i="1"/>
  <c r="P13" i="1"/>
  <c r="U13" i="1" s="1"/>
  <c r="V13" i="1" s="1"/>
  <c r="M13" i="1"/>
  <c r="O13" i="1" s="1"/>
  <c r="I13" i="1"/>
  <c r="U12" i="1"/>
  <c r="V12" i="1" s="1"/>
  <c r="S12" i="1"/>
  <c r="P12" i="1"/>
  <c r="O12" i="1"/>
  <c r="M12" i="1"/>
  <c r="T12" i="1" s="1"/>
  <c r="W12" i="1" s="1"/>
  <c r="I12" i="1"/>
  <c r="T11" i="1"/>
  <c r="S11" i="1"/>
  <c r="P11" i="1"/>
  <c r="U11" i="1" s="1"/>
  <c r="V11" i="1" s="1"/>
  <c r="O11" i="1"/>
  <c r="M11" i="1"/>
  <c r="I11" i="1"/>
  <c r="S10" i="1"/>
  <c r="U10" i="1" s="1"/>
  <c r="V10" i="1" s="1"/>
  <c r="P10" i="1"/>
  <c r="I10" i="1"/>
  <c r="M10" i="1" s="1"/>
  <c r="V9" i="1"/>
  <c r="U9" i="1"/>
  <c r="S9" i="1"/>
  <c r="P9" i="1"/>
  <c r="M9" i="1"/>
  <c r="I9" i="1"/>
  <c r="U8" i="1"/>
  <c r="V8" i="1" s="1"/>
  <c r="S8" i="1"/>
  <c r="P8" i="1"/>
  <c r="I8" i="1"/>
  <c r="M8" i="1" s="1"/>
  <c r="T8" i="1" s="1"/>
  <c r="W8" i="1" s="1"/>
  <c r="S7" i="1"/>
  <c r="P7" i="1"/>
  <c r="U7" i="1" s="1"/>
  <c r="V7" i="1" s="1"/>
  <c r="M7" i="1"/>
  <c r="O7" i="1" s="1"/>
  <c r="I7" i="1"/>
  <c r="S6" i="1"/>
  <c r="U6" i="1" s="1"/>
  <c r="V6" i="1" s="1"/>
  <c r="P6" i="1"/>
  <c r="I6" i="1"/>
  <c r="M6" i="1" s="1"/>
  <c r="S5" i="1"/>
  <c r="U5" i="1"/>
  <c r="V5" i="1" s="1"/>
  <c r="M5" i="1"/>
  <c r="O5" i="1" s="1"/>
  <c r="I5" i="1"/>
  <c r="V4" i="1" s="1"/>
  <c r="S4" i="1"/>
  <c r="O4" i="1"/>
  <c r="M4" i="1"/>
  <c r="I4" i="1"/>
  <c r="T3" i="1"/>
  <c r="S3" i="1"/>
  <c r="P3" i="1"/>
  <c r="U3" i="1" s="1"/>
  <c r="V3" i="1" s="1"/>
  <c r="O3" i="1"/>
  <c r="M3" i="1"/>
  <c r="I3" i="1"/>
  <c r="S2" i="1"/>
  <c r="U2" i="1" s="1"/>
  <c r="V2" i="1" s="1"/>
  <c r="P2" i="1"/>
  <c r="I2" i="1"/>
  <c r="M2" i="1" s="1"/>
  <c r="W4" i="1" l="1"/>
  <c r="T55" i="1"/>
  <c r="W55" i="1" s="1"/>
  <c r="V55" i="1"/>
  <c r="T79" i="1"/>
  <c r="W79" i="1" s="1"/>
  <c r="V79" i="1"/>
  <c r="W96" i="1"/>
  <c r="T111" i="1"/>
  <c r="W111" i="1" s="1"/>
  <c r="O111" i="1"/>
  <c r="O122" i="1"/>
  <c r="T122" i="1"/>
  <c r="W122" i="1" s="1"/>
  <c r="O8" i="1"/>
  <c r="O14" i="1"/>
  <c r="T14" i="1"/>
  <c r="W14" i="1" s="1"/>
  <c r="O107" i="1"/>
  <c r="T107" i="1"/>
  <c r="W107" i="1" s="1"/>
  <c r="W112" i="1"/>
  <c r="O117" i="1"/>
  <c r="T117" i="1"/>
  <c r="W117" i="1" s="1"/>
  <c r="T119" i="1"/>
  <c r="W119" i="1" s="1"/>
  <c r="O119" i="1"/>
  <c r="T23" i="1"/>
  <c r="W23" i="1" s="1"/>
  <c r="V23" i="1"/>
  <c r="T63" i="1"/>
  <c r="W63" i="1" s="1"/>
  <c r="V63" i="1"/>
  <c r="W129" i="1"/>
  <c r="T19" i="1"/>
  <c r="W19" i="1" s="1"/>
  <c r="V19" i="1"/>
  <c r="T27" i="1"/>
  <c r="W27" i="1" s="1"/>
  <c r="V27" i="1"/>
  <c r="T35" i="1"/>
  <c r="W35" i="1" s="1"/>
  <c r="V35" i="1"/>
  <c r="T43" i="1"/>
  <c r="W43" i="1" s="1"/>
  <c r="V43" i="1"/>
  <c r="T51" i="1"/>
  <c r="W51" i="1" s="1"/>
  <c r="V51" i="1"/>
  <c r="T59" i="1"/>
  <c r="W59" i="1" s="1"/>
  <c r="V59" i="1"/>
  <c r="T67" i="1"/>
  <c r="W67" i="1" s="1"/>
  <c r="V67" i="1"/>
  <c r="T75" i="1"/>
  <c r="W75" i="1" s="1"/>
  <c r="V75" i="1"/>
  <c r="T83" i="1"/>
  <c r="W83" i="1" s="1"/>
  <c r="V83" i="1"/>
  <c r="T91" i="1"/>
  <c r="W91" i="1" s="1"/>
  <c r="V91" i="1"/>
  <c r="O115" i="1"/>
  <c r="T115" i="1"/>
  <c r="W115" i="1" s="1"/>
  <c r="W120" i="1"/>
  <c r="T125" i="1"/>
  <c r="W125" i="1" s="1"/>
  <c r="O125" i="1"/>
  <c r="T127" i="1"/>
  <c r="W127" i="1" s="1"/>
  <c r="O127" i="1"/>
  <c r="T39" i="1"/>
  <c r="W39" i="1" s="1"/>
  <c r="V39" i="1"/>
  <c r="T71" i="1"/>
  <c r="W71" i="1" s="1"/>
  <c r="V71" i="1"/>
  <c r="T95" i="1"/>
  <c r="W95" i="1" s="1"/>
  <c r="O95" i="1"/>
  <c r="W5" i="1"/>
  <c r="W13" i="1"/>
  <c r="T109" i="1"/>
  <c r="W109" i="1" s="1"/>
  <c r="O109" i="1"/>
  <c r="T10" i="1"/>
  <c r="W10" i="1" s="1"/>
  <c r="O10" i="1"/>
  <c r="V22" i="1"/>
  <c r="T22" i="1"/>
  <c r="W22" i="1" s="1"/>
  <c r="V38" i="1"/>
  <c r="T38" i="1"/>
  <c r="W38" i="1" s="1"/>
  <c r="V54" i="1"/>
  <c r="T54" i="1"/>
  <c r="W54" i="1" s="1"/>
  <c r="V70" i="1"/>
  <c r="T70" i="1"/>
  <c r="W70" i="1" s="1"/>
  <c r="V78" i="1"/>
  <c r="T78" i="1"/>
  <c r="W78" i="1" s="1"/>
  <c r="W97" i="1"/>
  <c r="W128" i="1"/>
  <c r="V30" i="1"/>
  <c r="T30" i="1"/>
  <c r="W30" i="1" s="1"/>
  <c r="V46" i="1"/>
  <c r="T46" i="1"/>
  <c r="W46" i="1" s="1"/>
  <c r="V62" i="1"/>
  <c r="T62" i="1"/>
  <c r="W62" i="1" s="1"/>
  <c r="V86" i="1"/>
  <c r="T86" i="1"/>
  <c r="W86" i="1" s="1"/>
  <c r="T94" i="1"/>
  <c r="W94" i="1" s="1"/>
  <c r="O94" i="1"/>
  <c r="O123" i="1"/>
  <c r="T123" i="1"/>
  <c r="W123" i="1" s="1"/>
  <c r="W3" i="1"/>
  <c r="W11" i="1"/>
  <c r="S132" i="1"/>
  <c r="W98" i="1"/>
  <c r="T101" i="1"/>
  <c r="W101" i="1" s="1"/>
  <c r="O101" i="1"/>
  <c r="T103" i="1"/>
  <c r="W103" i="1" s="1"/>
  <c r="O103" i="1"/>
  <c r="T9" i="1"/>
  <c r="W9" i="1" s="1"/>
  <c r="O9" i="1"/>
  <c r="T31" i="1"/>
  <c r="W31" i="1" s="1"/>
  <c r="V31" i="1"/>
  <c r="T87" i="1"/>
  <c r="W87" i="1" s="1"/>
  <c r="V87" i="1"/>
  <c r="W106" i="1"/>
  <c r="O6" i="1"/>
  <c r="T6" i="1"/>
  <c r="W6" i="1" s="1"/>
  <c r="T2" i="1"/>
  <c r="W2" i="1" s="1"/>
  <c r="O2" i="1"/>
  <c r="O99" i="1"/>
  <c r="T99" i="1"/>
  <c r="W99" i="1" s="1"/>
  <c r="W104" i="1"/>
  <c r="W110" i="1"/>
  <c r="W130" i="1"/>
  <c r="T15" i="1"/>
  <c r="W15" i="1" s="1"/>
  <c r="V15" i="1"/>
  <c r="T47" i="1"/>
  <c r="W47" i="1" s="1"/>
  <c r="V47" i="1"/>
  <c r="V18" i="1"/>
  <c r="T18" i="1"/>
  <c r="W18" i="1" s="1"/>
  <c r="V26" i="1"/>
  <c r="T26" i="1"/>
  <c r="W26" i="1" s="1"/>
  <c r="V34" i="1"/>
  <c r="T34" i="1"/>
  <c r="W34" i="1" s="1"/>
  <c r="V42" i="1"/>
  <c r="T42" i="1"/>
  <c r="W42" i="1" s="1"/>
  <c r="V50" i="1"/>
  <c r="T50" i="1"/>
  <c r="W50" i="1" s="1"/>
  <c r="V58" i="1"/>
  <c r="T58" i="1"/>
  <c r="W58" i="1" s="1"/>
  <c r="V66" i="1"/>
  <c r="T66" i="1"/>
  <c r="W66" i="1" s="1"/>
  <c r="V74" i="1"/>
  <c r="T74" i="1"/>
  <c r="W74" i="1" s="1"/>
  <c r="V82" i="1"/>
  <c r="T82" i="1"/>
  <c r="W82" i="1" s="1"/>
  <c r="V90" i="1"/>
  <c r="T90" i="1"/>
  <c r="W90" i="1" s="1"/>
  <c r="O114" i="1"/>
  <c r="T114" i="1"/>
  <c r="W114" i="1" s="1"/>
  <c r="W126" i="1"/>
  <c r="O102" i="1"/>
  <c r="O110" i="1"/>
  <c r="O118" i="1"/>
  <c r="O126" i="1"/>
  <c r="T7" i="1"/>
  <c r="W7" i="1" s="1"/>
  <c r="T100" i="1"/>
  <c r="W100" i="1" s="1"/>
  <c r="T108" i="1"/>
  <c r="W108" i="1" s="1"/>
  <c r="T116" i="1"/>
  <c r="W116" i="1" s="1"/>
  <c r="T124" i="1"/>
  <c r="W124" i="1" s="1"/>
  <c r="T17" i="1"/>
  <c r="W17" i="1" s="1"/>
  <c r="T21" i="1"/>
  <c r="W21" i="1" s="1"/>
  <c r="T25" i="1"/>
  <c r="W25" i="1" s="1"/>
  <c r="T29" i="1"/>
  <c r="W29" i="1" s="1"/>
  <c r="T33" i="1"/>
  <c r="W33" i="1" s="1"/>
  <c r="T37" i="1"/>
  <c r="W37" i="1" s="1"/>
  <c r="T41" i="1"/>
  <c r="W41" i="1" s="1"/>
  <c r="T45" i="1"/>
  <c r="W45" i="1" s="1"/>
  <c r="T49" i="1"/>
  <c r="W49" i="1" s="1"/>
  <c r="T53" i="1"/>
  <c r="W53" i="1" s="1"/>
  <c r="T57" i="1"/>
  <c r="W57" i="1" s="1"/>
  <c r="T61" i="1"/>
  <c r="W61" i="1" s="1"/>
  <c r="T65" i="1"/>
  <c r="W65" i="1" s="1"/>
  <c r="T69" i="1"/>
  <c r="W69" i="1" s="1"/>
  <c r="T73" i="1"/>
  <c r="W73" i="1" s="1"/>
  <c r="T77" i="1"/>
  <c r="W77" i="1" s="1"/>
  <c r="T81" i="1"/>
  <c r="W81" i="1" s="1"/>
  <c r="T85" i="1"/>
  <c r="W85" i="1" s="1"/>
  <c r="T89" i="1"/>
  <c r="W89" i="1" s="1"/>
  <c r="T93" i="1"/>
  <c r="W93" i="1" s="1"/>
  <c r="O113" i="1"/>
  <c r="O121" i="1"/>
  <c r="T16" i="1"/>
  <c r="W16" i="1" s="1"/>
  <c r="T20" i="1"/>
  <c r="W20" i="1" s="1"/>
  <c r="T24" i="1"/>
  <c r="W24" i="1" s="1"/>
  <c r="T28" i="1"/>
  <c r="W28" i="1" s="1"/>
  <c r="T32" i="1"/>
  <c r="W32" i="1" s="1"/>
  <c r="T36" i="1"/>
  <c r="W36" i="1" s="1"/>
  <c r="T40" i="1"/>
  <c r="W40" i="1" s="1"/>
  <c r="T44" i="1"/>
  <c r="W44" i="1" s="1"/>
  <c r="T48" i="1"/>
  <c r="W48" i="1" s="1"/>
  <c r="T52" i="1"/>
  <c r="W52" i="1" s="1"/>
  <c r="T56" i="1"/>
  <c r="W56" i="1" s="1"/>
  <c r="T60" i="1"/>
  <c r="W60" i="1" s="1"/>
  <c r="T64" i="1"/>
  <c r="W64" i="1" s="1"/>
  <c r="T68" i="1"/>
  <c r="W68" i="1" s="1"/>
  <c r="T72" i="1"/>
  <c r="W72" i="1" s="1"/>
  <c r="T76" i="1"/>
  <c r="W76" i="1" s="1"/>
  <c r="T80" i="1"/>
  <c r="W80" i="1" s="1"/>
  <c r="T84" i="1"/>
  <c r="W84" i="1" s="1"/>
  <c r="T88" i="1"/>
  <c r="W88" i="1" s="1"/>
  <c r="T92" i="1"/>
  <c r="W92" i="1" s="1"/>
  <c r="U1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tc={502A6C14-0328-4C7B-AD6D-ABEE59E78D43}</author>
    <author>User</author>
    <author>tc={4A6326F1-9513-4E62-B37A-E2A937F3864A}</author>
  </authors>
  <commentList>
    <comment ref="N4" authorId="0" shapeId="0" xr:uid="{0405B80A-06AD-445B-A97C-4DFFB8495CFD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CADASTRAR SUBSTRATO</t>
        </r>
      </text>
    </comment>
    <comment ref="P4" authorId="1" shapeId="0" xr:uid="{9C6F17F0-7615-44F4-A268-BFFDF7226DC1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preço estimado</t>
        </r>
      </text>
    </comment>
    <comment ref="N5" authorId="2" shapeId="0" xr:uid="{F0DBFDBD-5774-438F-92B7-70DF9A7E290D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CADASTRAR FACA 50X20</t>
        </r>
      </text>
    </comment>
  </commentList>
</comments>
</file>

<file path=xl/sharedStrings.xml><?xml version="1.0" encoding="utf-8"?>
<sst xmlns="http://schemas.openxmlformats.org/spreadsheetml/2006/main" count="379" uniqueCount="151">
  <si>
    <t>Nota</t>
  </si>
  <si>
    <t>Emissão</t>
  </si>
  <si>
    <t>Cliente</t>
  </si>
  <si>
    <t>Categoria</t>
  </si>
  <si>
    <t>Item</t>
  </si>
  <si>
    <t>nr. rolos</t>
  </si>
  <si>
    <t>L</t>
  </si>
  <si>
    <t>A</t>
  </si>
  <si>
    <t>Área</t>
  </si>
  <si>
    <t>Substrato</t>
  </si>
  <si>
    <t>Tubete</t>
  </si>
  <si>
    <t>Quant. Por rolo</t>
  </si>
  <si>
    <t>Custo Unit.</t>
  </si>
  <si>
    <t>Custo Unit.Camila</t>
  </si>
  <si>
    <t>Custo Total</t>
  </si>
  <si>
    <t>Venda</t>
  </si>
  <si>
    <t>Frete</t>
  </si>
  <si>
    <t>Impostos</t>
  </si>
  <si>
    <t>Venda líquida</t>
  </si>
  <si>
    <t>%</t>
  </si>
  <si>
    <t>BASE</t>
  </si>
  <si>
    <t>Etiqueta</t>
  </si>
  <si>
    <t>ETBOPP100x80</t>
  </si>
  <si>
    <t>custo conferido R$ 5.166,90 (Custo Final 34,446 x 150)</t>
  </si>
  <si>
    <t>FRANCAP</t>
  </si>
  <si>
    <t>ETBOPP80185</t>
  </si>
  <si>
    <t>FRIVASA</t>
  </si>
  <si>
    <t>Rótulo</t>
  </si>
  <si>
    <t>rot.PEAD86x165T3</t>
  </si>
  <si>
    <t>custo PEAD conferido R$ 602,40; venda líquida conferida R$ 4,82</t>
  </si>
  <si>
    <t>INJEX</t>
  </si>
  <si>
    <t>rot.03.001.00039</t>
  </si>
  <si>
    <t>ok</t>
  </si>
  <si>
    <t>EMIS</t>
  </si>
  <si>
    <t>ETCOU10070</t>
  </si>
  <si>
    <t>ETCOU1007040</t>
  </si>
  <si>
    <t>ETBOPP5151</t>
  </si>
  <si>
    <t>NUTRISANTOS</t>
  </si>
  <si>
    <t>BOPP10050</t>
  </si>
  <si>
    <t>IPSEMG</t>
  </si>
  <si>
    <t>ETCOU10085</t>
  </si>
  <si>
    <t>ETCOU4833</t>
  </si>
  <si>
    <t>TRIUNFO</t>
  </si>
  <si>
    <t>TER100x50T1</t>
  </si>
  <si>
    <t>SUPREMO CARNES - CHAGAS</t>
  </si>
  <si>
    <t>Ribbon</t>
  </si>
  <si>
    <t>301301/83</t>
  </si>
  <si>
    <t>300445/110</t>
  </si>
  <si>
    <t>RARO</t>
  </si>
  <si>
    <t>GAVAZZA</t>
  </si>
  <si>
    <t>P11074108</t>
  </si>
  <si>
    <t>P6474200</t>
  </si>
  <si>
    <t>PROFARMA PR</t>
  </si>
  <si>
    <t>HOSPITAL SUMARÉ</t>
  </si>
  <si>
    <t>300120/110</t>
  </si>
  <si>
    <t>300443/110</t>
  </si>
  <si>
    <t>P110450108</t>
  </si>
  <si>
    <t>SUPREMO CARNES - IBIRITÉ</t>
  </si>
  <si>
    <t>300276/110</t>
  </si>
  <si>
    <t>PROFARMA RJ</t>
  </si>
  <si>
    <t>PROFARM RS</t>
  </si>
  <si>
    <t>BMB BELGO</t>
  </si>
  <si>
    <t>ALS BRASIL</t>
  </si>
  <si>
    <t>T65053IO</t>
  </si>
  <si>
    <t>T65067IO</t>
  </si>
  <si>
    <t>SUPREMO CARNES</t>
  </si>
  <si>
    <t>EQUAGRIL</t>
  </si>
  <si>
    <t>P110300108</t>
  </si>
  <si>
    <t>AMARAL CARVALHO</t>
  </si>
  <si>
    <t>P110360108</t>
  </si>
  <si>
    <t>APOLO</t>
  </si>
  <si>
    <t>MUSASHI</t>
  </si>
  <si>
    <t>300887/110</t>
  </si>
  <si>
    <t>FORMTAP</t>
  </si>
  <si>
    <t>SUPREMO CARNES IBIRITÉ</t>
  </si>
  <si>
    <t>SUPREMO CARNES CHAGAS</t>
  </si>
  <si>
    <t>PROFARMA SP</t>
  </si>
  <si>
    <t>LABICON</t>
  </si>
  <si>
    <t>HOSPITA SUMARÉ</t>
  </si>
  <si>
    <t>VERDEMAR</t>
  </si>
  <si>
    <t>300447/110</t>
  </si>
  <si>
    <t>YANGZI</t>
  </si>
  <si>
    <t>DIAGNOSTICA</t>
  </si>
  <si>
    <t>300118/110</t>
  </si>
  <si>
    <t>SUPERMERCADO BH</t>
  </si>
  <si>
    <t>FRANBOM</t>
  </si>
  <si>
    <t>P64300200</t>
  </si>
  <si>
    <t>SAUDALI</t>
  </si>
  <si>
    <t>ADAILTON</t>
  </si>
  <si>
    <t>300119/110</t>
  </si>
  <si>
    <t>ORTOBOM MT</t>
  </si>
  <si>
    <t>TOP SERVICE</t>
  </si>
  <si>
    <t>Ribbon cartão</t>
  </si>
  <si>
    <t>ZC300/100</t>
  </si>
  <si>
    <t>Cartão</t>
  </si>
  <si>
    <t>SC0548</t>
  </si>
  <si>
    <t>ECO DIAGNOSTICA</t>
  </si>
  <si>
    <t>SUPERMERCADO REX</t>
  </si>
  <si>
    <t>EPOCA CONTAGEM</t>
  </si>
  <si>
    <t>NATIVITA</t>
  </si>
  <si>
    <t>COLORMAX</t>
  </si>
  <si>
    <t>525100-004-S75</t>
  </si>
  <si>
    <t>K.A.Y. COMPONENTES</t>
  </si>
  <si>
    <t>FIGUEIREDO SM</t>
  </si>
  <si>
    <t>EB100X80X39</t>
  </si>
  <si>
    <t xml:space="preserve">	rot.03.001.00395</t>
  </si>
  <si>
    <t>LABORCLINICA</t>
  </si>
  <si>
    <t>EBOPP50X30</t>
  </si>
  <si>
    <t>COLORMAX compramos?</t>
  </si>
  <si>
    <t>Etiqueta Colorida</t>
  </si>
  <si>
    <t>ECOU100X50AMARELA</t>
  </si>
  <si>
    <t>MIXVET</t>
  </si>
  <si>
    <t>ETCOU100100T1</t>
  </si>
  <si>
    <t>DISTRIBEM</t>
  </si>
  <si>
    <t>rot.COUCHE10X5AZUL</t>
  </si>
  <si>
    <t>rot.COUCHE10X5LARANJA</t>
  </si>
  <si>
    <t>rot.COUCHE10X5VERDE</t>
  </si>
  <si>
    <t>NUT210100A</t>
  </si>
  <si>
    <t>M2000</t>
  </si>
  <si>
    <t>ETCOUAZUL100x100</t>
  </si>
  <si>
    <t>ETCOULARANJA100x100</t>
  </si>
  <si>
    <t>BOPP5030LARANJA</t>
  </si>
  <si>
    <t>AUTOLOG</t>
  </si>
  <si>
    <t>ETAZUL100100AUT</t>
  </si>
  <si>
    <t>ETVERDE100100AUT</t>
  </si>
  <si>
    <t>ETAMARELA100100AUT</t>
  </si>
  <si>
    <t>MINASA</t>
  </si>
  <si>
    <t>ECOU100x75T1</t>
  </si>
  <si>
    <t>ETVERMELHA100100AUT</t>
  </si>
  <si>
    <t>NUT210100F</t>
  </si>
  <si>
    <t>DROGA CLARA</t>
  </si>
  <si>
    <t>ETCOU10080T3</t>
  </si>
  <si>
    <t xml:space="preserve">ETBOPP100901000	</t>
  </si>
  <si>
    <t>E50X235BOPP</t>
  </si>
  <si>
    <t>ETQALS51X51</t>
  </si>
  <si>
    <t>BOPP100X40</t>
  </si>
  <si>
    <t>ALS BRASIL MT</t>
  </si>
  <si>
    <t>ETQALS100X75</t>
  </si>
  <si>
    <t>Labicon</t>
  </si>
  <si>
    <t>BOPP5030</t>
  </si>
  <si>
    <t>rot.BOPP50x30VERDE</t>
  </si>
  <si>
    <t xml:space="preserve">rot.COUCHE100x80AMARELA	</t>
  </si>
  <si>
    <t>E50X200BOPP</t>
  </si>
  <si>
    <t>ETCOUAMARELA100x100</t>
  </si>
  <si>
    <t>ETERMICA50X30</t>
  </si>
  <si>
    <t>ET102197</t>
  </si>
  <si>
    <t>ALS PHARMA</t>
  </si>
  <si>
    <t>ETALS50X25</t>
  </si>
  <si>
    <t>BIOCON NOVA LIMA</t>
  </si>
  <si>
    <t>ECOU90X60</t>
  </si>
  <si>
    <t>venda líquida conferida R$ 1.024,56 (coluna T usava Custo Unit. teórico)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</si>
</sst>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16]d\-mmm;@"/>
    <numFmt numFmtId="165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11">
    <fill>
      <patternFill patternType="none"/>
    </fill>
    <fill>
      <patternFill patternType="gray125"/>
    </fill>
    <fill>
      <patternFill patternType="solid">
        <fgColor rgb="FF0070C0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4" fontId="2" fillId="2" borderId="1" xfId="1" applyNumberFormat="1" applyFont="1" applyFill="1" applyBorder="1" applyAlignment="1"/>
    <xf numFmtId="43" fontId="2" fillId="2" borderId="1" xfId="1" applyFont="1" applyFill="1" applyBorder="1" applyAlignment="1">
      <alignment horizontal="center"/>
    </xf>
    <xf numFmtId="4" fontId="2" fillId="2" borderId="1" xfId="1" applyNumberFormat="1" applyFont="1" applyFill="1" applyBorder="1" applyAlignment="1">
      <alignment horizontal="center"/>
    </xf>
    <xf numFmtId="165" fontId="2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43" fontId="0" fillId="3" borderId="1" xfId="1" applyFont="1" applyFill="1" applyBorder="1" applyAlignment="1">
      <alignment horizontal="center"/>
    </xf>
    <xf numFmtId="43" fontId="3" fillId="4" borderId="1" xfId="1" applyFont="1" applyFill="1" applyBorder="1" applyAlignment="1"/>
    <xf numFmtId="9" fontId="0" fillId="0" borderId="1" xfId="2" applyFont="1" applyFill="1" applyBorder="1" applyAlignment="1"/>
    <xf numFmtId="43" fontId="4" fillId="0" borderId="1" xfId="1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right"/>
    </xf>
    <xf numFmtId="165" fontId="0" fillId="0" borderId="1" xfId="1" applyNumberFormat="1" applyFont="1" applyFill="1" applyBorder="1" applyAlignment="1">
      <alignment horizontal="right"/>
    </xf>
    <xf numFmtId="43" fontId="4" fillId="0" borderId="1" xfId="1" applyFont="1" applyFill="1" applyBorder="1" applyAlignment="1">
      <alignment horizontal="right" vertical="center"/>
    </xf>
    <xf numFmtId="43" fontId="4" fillId="5" borderId="1" xfId="1" applyFont="1" applyFill="1" applyBorder="1" applyAlignment="1">
      <alignment horizontal="right" vertical="center"/>
    </xf>
    <xf numFmtId="9" fontId="4" fillId="0" borderId="1" xfId="2" applyFont="1" applyFill="1" applyBorder="1" applyAlignment="1">
      <alignment horizontal="right" vertical="center"/>
    </xf>
    <xf numFmtId="43" fontId="0" fillId="0" borderId="0" xfId="0" applyNumberFormat="1"/>
    <xf numFmtId="0" fontId="5" fillId="0" borderId="1" xfId="0" applyFont="1" applyBorder="1" applyAlignment="1">
      <alignment horizontal="center"/>
    </xf>
    <xf numFmtId="43" fontId="0" fillId="0" borderId="1" xfId="1" applyFont="1" applyFill="1" applyBorder="1" applyAlignment="1"/>
    <xf numFmtId="0" fontId="0" fillId="0" borderId="1" xfId="0" applyBorder="1"/>
    <xf numFmtId="43" fontId="4" fillId="3" borderId="1" xfId="1" applyFont="1" applyFill="1" applyBorder="1" applyAlignment="1">
      <alignment horizontal="right" vertical="center"/>
    </xf>
    <xf numFmtId="43" fontId="4" fillId="6" borderId="1" xfId="1" applyFont="1" applyFill="1" applyBorder="1" applyAlignment="1">
      <alignment horizontal="right" vertical="center"/>
    </xf>
    <xf numFmtId="43" fontId="0" fillId="0" borderId="1" xfId="1" applyFont="1" applyFill="1" applyBorder="1" applyAlignment="1">
      <alignment horizontal="center" vertical="center"/>
    </xf>
    <xf numFmtId="4" fontId="0" fillId="0" borderId="1" xfId="1" applyNumberFormat="1" applyFont="1" applyFill="1" applyBorder="1" applyAlignment="1">
      <alignment horizontal="right"/>
    </xf>
    <xf numFmtId="43" fontId="4" fillId="0" borderId="1" xfId="1" applyFont="1" applyFill="1" applyBorder="1" applyAlignment="1">
      <alignment vertical="center"/>
    </xf>
    <xf numFmtId="4" fontId="0" fillId="0" borderId="1" xfId="0" applyNumberFormat="1" applyBorder="1"/>
    <xf numFmtId="14" fontId="0" fillId="0" borderId="1" xfId="0" applyNumberForma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165" fontId="0" fillId="7" borderId="1" xfId="1" applyNumberFormat="1" applyFont="1" applyFill="1" applyBorder="1" applyAlignment="1">
      <alignment horizontal="right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left"/>
    </xf>
    <xf numFmtId="43" fontId="0" fillId="0" borderId="1" xfId="1" applyFont="1" applyFill="1" applyBorder="1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3" fontId="0" fillId="0" borderId="0" xfId="1" applyFont="1" applyBorder="1"/>
    <xf numFmtId="0" fontId="4" fillId="8" borderId="0" xfId="0" applyFont="1" applyFill="1" applyAlignment="1">
      <alignment horizontal="left"/>
    </xf>
    <xf numFmtId="4" fontId="0" fillId="9" borderId="0" xfId="0" applyNumberFormat="1" applyFill="1" applyAlignment="1">
      <alignment horizontal="right"/>
    </xf>
    <xf numFmtId="43" fontId="0" fillId="0" borderId="0" xfId="0" applyNumberFormat="1" applyAlignment="1">
      <alignment horizontal="right"/>
    </xf>
    <xf numFmtId="4" fontId="0" fillId="10" borderId="0" xfId="0" applyNumberFormat="1" applyFill="1" applyAlignment="1">
      <alignment horizontal="right"/>
    </xf>
    <xf numFmtId="4" fontId="0" fillId="0" borderId="0" xfId="0" applyNumberFormat="1"/>
    <xf numFmtId="43" fontId="4" fillId="4" borderId="1" xfId="1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DAFE-0AE7-434A-A002-81D6B35C48F8}">
  <dimension ref="A1:X135"/>
  <sheetViews>
    <sheetView tabSelected="1" topLeftCell="G1" workbookViewId="0">
      <selection activeCell="O132" sqref="O132"/>
    </sheetView>
  </sheetViews>
  <sheetFormatPr defaultRowHeight="14.5" x14ac:dyDescent="0.35"/>
  <cols>
    <col min="1" max="1" width="5.54296875" bestFit="1" customWidth="1"/>
    <col min="2" max="2" width="8.453125" hidden="1" customWidth="1"/>
    <col min="3" max="4" width="26.81640625" customWidth="1"/>
    <col min="5" max="5" width="28.453125" customWidth="1"/>
    <col min="6" max="8" width="6.26953125" customWidth="1"/>
    <col min="9" max="9" width="10.54296875" customWidth="1"/>
    <col min="10" max="11" width="6.26953125" customWidth="1"/>
    <col min="12" max="13" width="18.26953125" customWidth="1"/>
    <col min="14" max="15" width="15.26953125" customWidth="1"/>
    <col min="16" max="16" width="12.26953125" bestFit="1" customWidth="1"/>
    <col min="17" max="17" width="11.26953125" style="49" bestFit="1" customWidth="1"/>
    <col min="18" max="18" width="11.26953125" bestFit="1" customWidth="1"/>
    <col min="19" max="19" width="11.1796875" bestFit="1" customWidth="1"/>
    <col min="20" max="20" width="11.1796875" customWidth="1"/>
    <col min="21" max="21" width="14.81640625" bestFit="1" customWidth="1"/>
    <col min="22" max="22" width="9.1796875" bestFit="1" customWidth="1"/>
    <col min="23" max="23" width="9.08984375" bestFit="1" customWidth="1"/>
  </cols>
  <sheetData>
    <row r="1" spans="1:24" x14ac:dyDescent="0.3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/>
      <c r="P1" s="5" t="s">
        <v>14</v>
      </c>
      <c r="Q1" s="6" t="s">
        <v>15</v>
      </c>
      <c r="R1" s="7" t="s">
        <v>16</v>
      </c>
      <c r="S1" s="5" t="s">
        <v>17</v>
      </c>
      <c r="T1" s="5"/>
      <c r="U1" s="5" t="s">
        <v>18</v>
      </c>
      <c r="V1" s="5" t="s">
        <v>19</v>
      </c>
    </row>
    <row r="2" spans="1:24" x14ac:dyDescent="0.35">
      <c r="A2" s="8">
        <v>1176</v>
      </c>
      <c r="B2" s="9">
        <v>46247</v>
      </c>
      <c r="C2" s="10" t="s">
        <v>20</v>
      </c>
      <c r="D2" s="10" t="s">
        <v>21</v>
      </c>
      <c r="E2" s="10" t="s">
        <v>22</v>
      </c>
      <c r="F2" s="11">
        <v>80</v>
      </c>
      <c r="G2" s="12">
        <v>100</v>
      </c>
      <c r="H2" s="12">
        <v>80</v>
      </c>
      <c r="I2" s="12">
        <f t="shared" ref="I2:I14" si="0">((G2+6)*(H2+3))/1000000</f>
        <v>8.7980000000000003E-3</v>
      </c>
      <c r="J2" s="12">
        <v>4.17</v>
      </c>
      <c r="K2" s="12">
        <v>1.32</v>
      </c>
      <c r="L2" s="12">
        <v>2000</v>
      </c>
      <c r="M2" s="13">
        <f t="shared" ref="M2:M14" si="1">(I2*J2*L2)+K2</f>
        <v>74.695319999999995</v>
      </c>
      <c r="N2" s="14">
        <v>38.909999999999997</v>
      </c>
      <c r="O2" s="15">
        <f t="shared" ref="O2:O14" si="2">N2/M2</f>
        <v>0.52091616984839206</v>
      </c>
      <c r="P2" s="16">
        <f t="shared" ref="P2:P65" si="3">F2*N2</f>
        <v>3112.7999999999997</v>
      </c>
      <c r="Q2" s="17">
        <v>5494.5</v>
      </c>
      <c r="R2" s="18">
        <v>200</v>
      </c>
      <c r="S2" s="19">
        <f t="shared" ref="S2:S65" si="4">Q2*0.0919</f>
        <v>504.94454999999999</v>
      </c>
      <c r="T2" s="20">
        <v>1024.56</v>
      </c>
      <c r="U2" s="19">
        <v>1024.56</v>
      </c>
      <c r="V2" s="21">
        <f t="shared" ref="V2:V65" si="6">U2/P2</f>
        <v>0.53866469095348257</v>
      </c>
      <c r="W2" s="22">
        <f t="shared" ref="W2:W65" si="7">T2-U2</f>
        <v>-2862.8256000000001</v>
      </c>
      <c r="X2" t="s">
        <v>150</v>
      </c>
    </row>
    <row r="3" spans="1:24" x14ac:dyDescent="0.35">
      <c r="A3" s="23">
        <v>3611</v>
      </c>
      <c r="B3" s="9">
        <v>46245</v>
      </c>
      <c r="C3" s="10" t="s">
        <v>24</v>
      </c>
      <c r="D3" s="10" t="s">
        <v>21</v>
      </c>
      <c r="E3" s="10" t="s">
        <v>25</v>
      </c>
      <c r="F3" s="11">
        <v>150</v>
      </c>
      <c r="G3" s="12">
        <v>80</v>
      </c>
      <c r="H3" s="12">
        <v>185</v>
      </c>
      <c r="I3" s="12">
        <f>((G3+6)*(H3+2.325))/1000000</f>
        <v>1.6109949999999998E-2</v>
      </c>
      <c r="J3" s="12">
        <v>4.45</v>
      </c>
      <c r="K3" s="12">
        <v>1.07</v>
      </c>
      <c r="L3" s="12">
        <v>400</v>
      </c>
      <c r="M3" s="13">
        <f t="shared" si="1"/>
        <v>29.745711</v>
      </c>
      <c r="N3" s="24">
        <v>34.446</v>
      </c>
      <c r="O3" s="15">
        <f t="shared" si="2"/>
        <v>0.70900977959477918</v>
      </c>
      <c r="P3" s="16">
        <f t="shared" si="3"/>
        <v>5166.9</v>
      </c>
      <c r="Q3" s="17">
        <v>6364.5</v>
      </c>
      <c r="R3" s="18">
        <v>70</v>
      </c>
      <c r="S3" s="19">
        <f t="shared" si="4"/>
        <v>584.89755000000002</v>
      </c>
      <c r="T3" s="20">
        <f t="shared" ref="T3:T14" si="8">Q3-((M3*F3)+R3+S3)</f>
        <v>1247.7458000000006</v>
      </c>
      <c r="U3" s="19">
        <f t="shared" ref="U3:U65" si="5">Q3-P3-R3-S3</f>
        <v>2546.1024499999999</v>
      </c>
      <c r="V3" s="21">
        <f t="shared" si="6"/>
        <v>0.80483718982140029</v>
      </c>
      <c r="W3" s="22">
        <f t="shared" si="7"/>
        <v>-1298.3566499999993</v>
      </c>
      <c r="X3" t="s">
        <v>23</v>
      </c>
    </row>
    <row r="4" spans="1:24" x14ac:dyDescent="0.35">
      <c r="A4" s="8">
        <v>1167</v>
      </c>
      <c r="B4" s="9">
        <v>46238</v>
      </c>
      <c r="C4" s="10" t="s">
        <v>26</v>
      </c>
      <c r="D4" s="10" t="s">
        <v>27</v>
      </c>
      <c r="E4" s="10" t="s">
        <v>28</v>
      </c>
      <c r="F4" s="11">
        <v>16</v>
      </c>
      <c r="G4" s="12">
        <v>86</v>
      </c>
      <c r="H4" s="12">
        <v>165</v>
      </c>
      <c r="I4" s="12">
        <f t="shared" si="0"/>
        <v>1.5455999999999999E-2</v>
      </c>
      <c r="J4" s="12">
        <v>4.45</v>
      </c>
      <c r="K4" s="12">
        <v>1.32</v>
      </c>
      <c r="L4" s="12">
        <v>1000</v>
      </c>
      <c r="M4" s="13">
        <f t="shared" si="1"/>
        <v>70.099199999999996</v>
      </c>
      <c r="N4" s="24">
        <v>37.65</v>
      </c>
      <c r="O4" s="15">
        <f t="shared" si="2"/>
        <v>0</v>
      </c>
      <c r="P4" s="50">
        <v>602.4</v>
      </c>
      <c r="Q4" s="17">
        <v>763.04</v>
      </c>
      <c r="R4" s="18">
        <v>88.94</v>
      </c>
      <c r="S4" s="19">
        <f t="shared" si="4"/>
        <v>70.123375999999993</v>
      </c>
      <c r="T4" s="20">
        <v>4.82</v>
      </c>
      <c r="U4" s="19">
        <v>4.82</v>
      </c>
      <c r="V4" s="21">
        <f t="shared" si="6"/>
        <v>0.00800132802124834</v>
      </c>
      <c r="W4" s="22">
        <f t="shared" si="7"/>
        <v>0</v>
      </c>
      <c r="X4" t="s">
        <v>29</v>
      </c>
    </row>
    <row r="5" spans="1:24" x14ac:dyDescent="0.35">
      <c r="A5" s="8">
        <v>1190</v>
      </c>
      <c r="B5" s="9">
        <v>46254</v>
      </c>
      <c r="C5" s="10" t="s">
        <v>30</v>
      </c>
      <c r="D5" s="10" t="s">
        <v>27</v>
      </c>
      <c r="E5" s="10" t="s">
        <v>31</v>
      </c>
      <c r="F5" s="11">
        <v>50</v>
      </c>
      <c r="G5" s="12">
        <v>50</v>
      </c>
      <c r="H5" s="12">
        <v>20</v>
      </c>
      <c r="I5" s="12">
        <f t="shared" si="0"/>
        <v>1.2880000000000001E-3</v>
      </c>
      <c r="J5" s="12">
        <v>3.26</v>
      </c>
      <c r="K5" s="12">
        <v>0.24</v>
      </c>
      <c r="L5" s="12">
        <v>4000</v>
      </c>
      <c r="M5" s="13">
        <f t="shared" si="1"/>
        <v>17.035519999999998</v>
      </c>
      <c r="N5" s="24">
        <v>25.0464</v>
      </c>
      <c r="O5" s="15">
        <f t="shared" si="2"/>
        <v>0</v>
      </c>
      <c r="P5" s="50">
        <v>1252.32</v>
      </c>
      <c r="Q5" s="17">
        <v>2432</v>
      </c>
      <c r="R5" s="18">
        <v>105.32</v>
      </c>
      <c r="S5" s="19">
        <f t="shared" si="4"/>
        <v>223.5008</v>
      </c>
      <c r="T5" s="20">
        <f>Q5-((M5*F5)+R5+S5)</f>
        <v>1251.4032</v>
      </c>
      <c r="U5" s="19">
        <f t="shared" si="5"/>
        <v>303.17920000000004</v>
      </c>
      <c r="V5" s="21">
        <f t="shared" si="6"/>
        <v>0.16843288888888891</v>
      </c>
      <c r="W5" s="22">
        <f t="shared" si="7"/>
        <v>948.22399999999993</v>
      </c>
      <c r="X5" t="s">
        <v>32</v>
      </c>
    </row>
    <row r="6" spans="1:24" x14ac:dyDescent="0.35">
      <c r="A6" s="8">
        <v>1188</v>
      </c>
      <c r="B6" s="9">
        <v>46252</v>
      </c>
      <c r="C6" s="10" t="s">
        <v>33</v>
      </c>
      <c r="D6" s="10" t="s">
        <v>21</v>
      </c>
      <c r="E6" s="25" t="s">
        <v>34</v>
      </c>
      <c r="F6" s="11">
        <v>50</v>
      </c>
      <c r="G6" s="12">
        <v>100</v>
      </c>
      <c r="H6" s="12">
        <v>70</v>
      </c>
      <c r="I6" s="12">
        <f t="shared" si="0"/>
        <v>7.7380000000000001E-3</v>
      </c>
      <c r="J6" s="12">
        <v>3.26</v>
      </c>
      <c r="K6" s="12">
        <v>1.32</v>
      </c>
      <c r="L6" s="12">
        <v>1285</v>
      </c>
      <c r="M6" s="13">
        <f t="shared" si="1"/>
        <v>33.735255799999997</v>
      </c>
      <c r="N6" s="24">
        <v>33.33</v>
      </c>
      <c r="O6" s="15">
        <f t="shared" si="2"/>
        <v>0.98798717275474168</v>
      </c>
      <c r="P6" s="16">
        <f t="shared" si="3"/>
        <v>1666.5</v>
      </c>
      <c r="Q6" s="17">
        <v>2498</v>
      </c>
      <c r="R6" s="18">
        <v>0</v>
      </c>
      <c r="S6" s="19">
        <f t="shared" si="4"/>
        <v>229.56619999999998</v>
      </c>
      <c r="T6" s="20">
        <f t="shared" si="8"/>
        <v>581.67101000000025</v>
      </c>
      <c r="U6" s="19">
        <f t="shared" si="5"/>
        <v>601.93380000000002</v>
      </c>
      <c r="V6" s="21">
        <f t="shared" si="6"/>
        <v>0.36119639963996403</v>
      </c>
      <c r="W6" s="22">
        <f t="shared" si="7"/>
        <v>-20.262789999999768</v>
      </c>
    </row>
    <row r="7" spans="1:24" x14ac:dyDescent="0.35">
      <c r="A7" s="8">
        <v>1188</v>
      </c>
      <c r="B7" s="9"/>
      <c r="C7" s="10" t="s">
        <v>33</v>
      </c>
      <c r="D7" s="10" t="s">
        <v>21</v>
      </c>
      <c r="E7" s="25" t="s">
        <v>35</v>
      </c>
      <c r="F7" s="11">
        <v>100</v>
      </c>
      <c r="G7" s="12">
        <v>100</v>
      </c>
      <c r="H7" s="12">
        <v>70</v>
      </c>
      <c r="I7" s="12">
        <f t="shared" si="0"/>
        <v>7.7380000000000001E-3</v>
      </c>
      <c r="J7" s="12">
        <v>3.26</v>
      </c>
      <c r="K7" s="12">
        <v>0.34</v>
      </c>
      <c r="L7" s="12">
        <v>554</v>
      </c>
      <c r="M7" s="13">
        <f t="shared" si="1"/>
        <v>14.315137519999999</v>
      </c>
      <c r="N7" s="24">
        <v>14.12</v>
      </c>
      <c r="O7" s="15">
        <f t="shared" si="2"/>
        <v>0.98636844950128011</v>
      </c>
      <c r="P7" s="16">
        <f t="shared" si="3"/>
        <v>1412</v>
      </c>
      <c r="Q7" s="17">
        <v>2301</v>
      </c>
      <c r="R7" s="18">
        <v>50</v>
      </c>
      <c r="S7" s="19">
        <f t="shared" si="4"/>
        <v>211.46189999999999</v>
      </c>
      <c r="T7" s="20">
        <f t="shared" si="8"/>
        <v>608.02434800000015</v>
      </c>
      <c r="U7" s="19">
        <f t="shared" si="5"/>
        <v>627.53809999999999</v>
      </c>
      <c r="V7" s="21">
        <f t="shared" si="6"/>
        <v>0.44443208215297447</v>
      </c>
      <c r="W7" s="22">
        <f t="shared" si="7"/>
        <v>-19.51375199999984</v>
      </c>
    </row>
    <row r="8" spans="1:24" x14ac:dyDescent="0.35">
      <c r="A8" s="8">
        <v>1170</v>
      </c>
      <c r="B8" s="9">
        <v>46240</v>
      </c>
      <c r="C8" s="10" t="s">
        <v>33</v>
      </c>
      <c r="D8" s="10" t="s">
        <v>21</v>
      </c>
      <c r="E8" s="10" t="s">
        <v>36</v>
      </c>
      <c r="F8" s="11">
        <v>4</v>
      </c>
      <c r="G8" s="12">
        <v>51</v>
      </c>
      <c r="H8" s="12">
        <v>51</v>
      </c>
      <c r="I8" s="12">
        <f t="shared" si="0"/>
        <v>3.078E-3</v>
      </c>
      <c r="J8" s="12">
        <v>4.45</v>
      </c>
      <c r="K8" s="12">
        <v>0.24</v>
      </c>
      <c r="L8" s="12">
        <v>1111</v>
      </c>
      <c r="M8" s="13">
        <f t="shared" si="1"/>
        <v>15.457478100000001</v>
      </c>
      <c r="N8" s="24">
        <v>11.43</v>
      </c>
      <c r="O8" s="15">
        <f t="shared" si="2"/>
        <v>0.73944791809214971</v>
      </c>
      <c r="P8" s="16">
        <f t="shared" si="3"/>
        <v>45.72</v>
      </c>
      <c r="Q8" s="17">
        <v>259.60000000000002</v>
      </c>
      <c r="R8" s="18">
        <v>40</v>
      </c>
      <c r="S8" s="19">
        <f t="shared" si="4"/>
        <v>23.857240000000001</v>
      </c>
      <c r="T8" s="20">
        <f t="shared" si="8"/>
        <v>133.91284760000002</v>
      </c>
      <c r="U8" s="19">
        <f t="shared" si="5"/>
        <v>150.02276000000003</v>
      </c>
      <c r="V8" s="21">
        <f t="shared" si="6"/>
        <v>3.2813377077865273</v>
      </c>
      <c r="W8" s="22">
        <f t="shared" si="7"/>
        <v>-16.109912400000013</v>
      </c>
    </row>
    <row r="9" spans="1:24" x14ac:dyDescent="0.35">
      <c r="A9" s="23">
        <v>3617</v>
      </c>
      <c r="B9" s="9">
        <v>46246</v>
      </c>
      <c r="C9" s="10" t="s">
        <v>37</v>
      </c>
      <c r="D9" s="10" t="s">
        <v>21</v>
      </c>
      <c r="E9" s="10" t="s">
        <v>38</v>
      </c>
      <c r="F9" s="11">
        <v>60</v>
      </c>
      <c r="G9" s="12">
        <v>100</v>
      </c>
      <c r="H9" s="12">
        <v>50</v>
      </c>
      <c r="I9" s="12">
        <f t="shared" si="0"/>
        <v>5.6179999999999997E-3</v>
      </c>
      <c r="J9" s="12">
        <v>4.17</v>
      </c>
      <c r="K9" s="12">
        <v>1.32</v>
      </c>
      <c r="L9" s="12">
        <v>1500</v>
      </c>
      <c r="M9" s="13">
        <f t="shared" si="1"/>
        <v>36.460589999999996</v>
      </c>
      <c r="N9" s="24">
        <v>36.200000000000003</v>
      </c>
      <c r="O9" s="15">
        <f t="shared" si="2"/>
        <v>0.99285283096077181</v>
      </c>
      <c r="P9" s="16">
        <f t="shared" si="3"/>
        <v>2172</v>
      </c>
      <c r="Q9" s="17">
        <v>2988.6</v>
      </c>
      <c r="R9" s="18">
        <v>0</v>
      </c>
      <c r="S9" s="19">
        <f t="shared" si="4"/>
        <v>274.65233999999998</v>
      </c>
      <c r="T9" s="20">
        <f t="shared" si="8"/>
        <v>526.31226000000015</v>
      </c>
      <c r="U9" s="19">
        <f t="shared" si="5"/>
        <v>541.94765999999993</v>
      </c>
      <c r="V9" s="21">
        <f t="shared" si="6"/>
        <v>0.24951549723756902</v>
      </c>
      <c r="W9" s="22">
        <f t="shared" si="7"/>
        <v>-15.635399999999777</v>
      </c>
    </row>
    <row r="10" spans="1:24" x14ac:dyDescent="0.35">
      <c r="A10" s="23">
        <v>3627</v>
      </c>
      <c r="B10" s="9">
        <v>46251</v>
      </c>
      <c r="C10" s="10" t="s">
        <v>39</v>
      </c>
      <c r="D10" s="10" t="s">
        <v>21</v>
      </c>
      <c r="E10" s="10" t="s">
        <v>40</v>
      </c>
      <c r="F10" s="11">
        <v>20</v>
      </c>
      <c r="G10" s="12">
        <v>100</v>
      </c>
      <c r="H10" s="12">
        <v>85</v>
      </c>
      <c r="I10" s="12">
        <f t="shared" si="0"/>
        <v>9.3279999999999995E-3</v>
      </c>
      <c r="J10" s="12">
        <v>3.26</v>
      </c>
      <c r="K10" s="12">
        <v>0.34</v>
      </c>
      <c r="L10" s="12">
        <v>500</v>
      </c>
      <c r="M10" s="13">
        <f t="shared" si="1"/>
        <v>15.544639999999998</v>
      </c>
      <c r="N10" s="24">
        <v>14.85</v>
      </c>
      <c r="O10" s="15">
        <f t="shared" si="2"/>
        <v>0.95531321407250358</v>
      </c>
      <c r="P10" s="16">
        <f t="shared" si="3"/>
        <v>297</v>
      </c>
      <c r="Q10" s="17">
        <v>492</v>
      </c>
      <c r="R10" s="18">
        <v>10</v>
      </c>
      <c r="S10" s="19">
        <f t="shared" si="4"/>
        <v>45.214799999999997</v>
      </c>
      <c r="T10" s="20">
        <f t="shared" si="8"/>
        <v>125.89240000000007</v>
      </c>
      <c r="U10" s="19">
        <f t="shared" si="5"/>
        <v>139.7852</v>
      </c>
      <c r="V10" s="21">
        <f t="shared" si="6"/>
        <v>0.47065723905723905</v>
      </c>
      <c r="W10" s="22">
        <f t="shared" si="7"/>
        <v>-13.892799999999937</v>
      </c>
    </row>
    <row r="11" spans="1:24" x14ac:dyDescent="0.35">
      <c r="A11" s="23">
        <v>3616</v>
      </c>
      <c r="B11" s="9">
        <v>46246</v>
      </c>
      <c r="C11" s="10" t="s">
        <v>37</v>
      </c>
      <c r="D11" s="10" t="s">
        <v>21</v>
      </c>
      <c r="E11" s="10" t="s">
        <v>38</v>
      </c>
      <c r="F11" s="11">
        <v>40</v>
      </c>
      <c r="G11" s="12">
        <v>100</v>
      </c>
      <c r="H11" s="12">
        <v>50</v>
      </c>
      <c r="I11" s="12">
        <f t="shared" si="0"/>
        <v>5.6179999999999997E-3</v>
      </c>
      <c r="J11" s="12">
        <v>4.17</v>
      </c>
      <c r="K11" s="12">
        <v>1.32</v>
      </c>
      <c r="L11" s="12">
        <v>1500</v>
      </c>
      <c r="M11" s="13">
        <f t="shared" si="1"/>
        <v>36.460589999999996</v>
      </c>
      <c r="N11" s="24">
        <v>36.200000000000003</v>
      </c>
      <c r="O11" s="15">
        <f t="shared" si="2"/>
        <v>0.99285283096077181</v>
      </c>
      <c r="P11" s="16">
        <f t="shared" si="3"/>
        <v>1448</v>
      </c>
      <c r="Q11" s="17">
        <v>2139.1</v>
      </c>
      <c r="R11" s="18">
        <v>0</v>
      </c>
      <c r="S11" s="19">
        <f t="shared" si="4"/>
        <v>196.58328999999998</v>
      </c>
      <c r="T11" s="20">
        <f t="shared" si="8"/>
        <v>484.09311000000002</v>
      </c>
      <c r="U11" s="19">
        <f t="shared" si="5"/>
        <v>494.51670999999993</v>
      </c>
      <c r="V11" s="21">
        <f t="shared" si="6"/>
        <v>0.34151706491712702</v>
      </c>
      <c r="W11" s="22">
        <f t="shared" si="7"/>
        <v>-10.423599999999908</v>
      </c>
    </row>
    <row r="12" spans="1:24" x14ac:dyDescent="0.35">
      <c r="A12" s="23">
        <v>3627</v>
      </c>
      <c r="B12" s="9"/>
      <c r="C12" s="10" t="s">
        <v>39</v>
      </c>
      <c r="D12" s="10" t="s">
        <v>21</v>
      </c>
      <c r="E12" s="10" t="s">
        <v>41</v>
      </c>
      <c r="F12" s="11">
        <v>20</v>
      </c>
      <c r="G12" s="12">
        <v>48</v>
      </c>
      <c r="H12" s="12">
        <v>33</v>
      </c>
      <c r="I12" s="12">
        <f t="shared" si="0"/>
        <v>1.944E-3</v>
      </c>
      <c r="J12" s="12">
        <v>3.26</v>
      </c>
      <c r="K12" s="12">
        <v>0.24</v>
      </c>
      <c r="L12" s="12">
        <v>2500</v>
      </c>
      <c r="M12" s="13">
        <f t="shared" si="1"/>
        <v>16.083599999999997</v>
      </c>
      <c r="N12" s="24">
        <v>15.81</v>
      </c>
      <c r="O12" s="15">
        <f t="shared" si="2"/>
        <v>0.98298888308587651</v>
      </c>
      <c r="P12" s="16">
        <f t="shared" si="3"/>
        <v>316.2</v>
      </c>
      <c r="Q12" s="17">
        <v>552.20000000000005</v>
      </c>
      <c r="R12" s="18">
        <v>10</v>
      </c>
      <c r="S12" s="19">
        <f t="shared" si="4"/>
        <v>50.74718</v>
      </c>
      <c r="T12" s="20">
        <f t="shared" si="8"/>
        <v>169.78082000000012</v>
      </c>
      <c r="U12" s="19">
        <f t="shared" si="5"/>
        <v>175.25282000000004</v>
      </c>
      <c r="V12" s="21">
        <f t="shared" si="6"/>
        <v>0.55424674256799511</v>
      </c>
      <c r="W12" s="22">
        <f t="shared" si="7"/>
        <v>-5.4719999999999231</v>
      </c>
    </row>
    <row r="13" spans="1:24" x14ac:dyDescent="0.35">
      <c r="A13" s="23">
        <v>3637</v>
      </c>
      <c r="B13" s="9">
        <v>46260</v>
      </c>
      <c r="C13" s="10" t="s">
        <v>37</v>
      </c>
      <c r="D13" s="10" t="s">
        <v>21</v>
      </c>
      <c r="E13" s="10" t="s">
        <v>38</v>
      </c>
      <c r="F13" s="11">
        <v>40</v>
      </c>
      <c r="G13" s="12">
        <v>100</v>
      </c>
      <c r="H13" s="12">
        <v>50</v>
      </c>
      <c r="I13" s="12">
        <f t="shared" si="0"/>
        <v>5.6179999999999997E-3</v>
      </c>
      <c r="J13" s="12">
        <v>4.17</v>
      </c>
      <c r="K13" s="12">
        <v>1.32</v>
      </c>
      <c r="L13" s="12">
        <v>1500</v>
      </c>
      <c r="M13" s="13">
        <f t="shared" si="1"/>
        <v>36.460589999999996</v>
      </c>
      <c r="N13" s="24">
        <v>36.4</v>
      </c>
      <c r="O13" s="15">
        <f t="shared" si="2"/>
        <v>0.99833820571746101</v>
      </c>
      <c r="P13" s="16">
        <f t="shared" si="3"/>
        <v>1456</v>
      </c>
      <c r="Q13" s="17">
        <v>1992.4</v>
      </c>
      <c r="R13" s="18">
        <v>0</v>
      </c>
      <c r="S13" s="19">
        <f t="shared" si="4"/>
        <v>183.10156000000001</v>
      </c>
      <c r="T13" s="20">
        <f t="shared" si="8"/>
        <v>350.87484000000018</v>
      </c>
      <c r="U13" s="19">
        <f t="shared" si="5"/>
        <v>353.29844000000008</v>
      </c>
      <c r="V13" s="21">
        <f t="shared" si="6"/>
        <v>0.24265002747252754</v>
      </c>
      <c r="W13" s="22">
        <f t="shared" si="7"/>
        <v>-2.4235999999999081</v>
      </c>
    </row>
    <row r="14" spans="1:24" x14ac:dyDescent="0.35">
      <c r="A14" s="8">
        <v>1184</v>
      </c>
      <c r="B14" s="9">
        <v>46251</v>
      </c>
      <c r="C14" s="10" t="s">
        <v>42</v>
      </c>
      <c r="D14" s="10" t="s">
        <v>21</v>
      </c>
      <c r="E14" s="10" t="s">
        <v>43</v>
      </c>
      <c r="F14" s="11">
        <v>20</v>
      </c>
      <c r="G14" s="12">
        <v>100</v>
      </c>
      <c r="H14" s="12">
        <v>50</v>
      </c>
      <c r="I14" s="12">
        <f t="shared" si="0"/>
        <v>5.6179999999999997E-3</v>
      </c>
      <c r="J14" s="12">
        <v>3.6</v>
      </c>
      <c r="K14" s="12">
        <v>0.34</v>
      </c>
      <c r="L14" s="12">
        <v>800</v>
      </c>
      <c r="M14" s="13">
        <f t="shared" si="1"/>
        <v>16.519840000000002</v>
      </c>
      <c r="N14" s="24">
        <v>16.420000000000002</v>
      </c>
      <c r="O14" s="15">
        <f t="shared" si="2"/>
        <v>0.99395635793082737</v>
      </c>
      <c r="P14" s="16">
        <f t="shared" si="3"/>
        <v>328.40000000000003</v>
      </c>
      <c r="Q14" s="17">
        <v>733.4</v>
      </c>
      <c r="R14" s="18">
        <v>40</v>
      </c>
      <c r="S14" s="19">
        <f t="shared" si="4"/>
        <v>67.399459999999991</v>
      </c>
      <c r="T14" s="20">
        <f t="shared" si="8"/>
        <v>295.60373999999996</v>
      </c>
      <c r="U14" s="19">
        <f t="shared" si="5"/>
        <v>297.60053999999997</v>
      </c>
      <c r="V14" s="21">
        <f t="shared" si="6"/>
        <v>0.9062135809987818</v>
      </c>
      <c r="W14" s="22">
        <f t="shared" si="7"/>
        <v>-1.9968000000000075</v>
      </c>
    </row>
    <row r="15" spans="1:24" x14ac:dyDescent="0.35">
      <c r="A15" s="11">
        <v>3599</v>
      </c>
      <c r="B15" s="9">
        <v>46238</v>
      </c>
      <c r="C15" s="10" t="s">
        <v>44</v>
      </c>
      <c r="D15" s="10" t="s">
        <v>45</v>
      </c>
      <c r="E15" s="10" t="s">
        <v>46</v>
      </c>
      <c r="F15" s="11">
        <v>24</v>
      </c>
      <c r="G15" s="12"/>
      <c r="H15" s="12"/>
      <c r="I15" s="12"/>
      <c r="J15" s="12"/>
      <c r="K15" s="12"/>
      <c r="L15" s="12"/>
      <c r="M15" s="12"/>
      <c r="N15" s="24">
        <v>26.4</v>
      </c>
      <c r="O15" s="24"/>
      <c r="P15" s="16">
        <f t="shared" si="3"/>
        <v>633.59999999999991</v>
      </c>
      <c r="Q15" s="17">
        <v>958.08</v>
      </c>
      <c r="R15" s="18">
        <v>15</v>
      </c>
      <c r="S15" s="19">
        <f t="shared" si="4"/>
        <v>88.047551999999996</v>
      </c>
      <c r="T15" s="26">
        <f t="shared" ref="T15:T78" si="9">U15</f>
        <v>221.43244800000014</v>
      </c>
      <c r="U15" s="27">
        <f t="shared" si="5"/>
        <v>221.43244800000014</v>
      </c>
      <c r="V15" s="21">
        <f t="shared" si="6"/>
        <v>0.34948303030303057</v>
      </c>
      <c r="W15" s="22">
        <f t="shared" si="7"/>
        <v>0</v>
      </c>
    </row>
    <row r="16" spans="1:24" x14ac:dyDescent="0.35">
      <c r="A16" s="11">
        <v>3599</v>
      </c>
      <c r="B16" s="9"/>
      <c r="C16" s="10"/>
      <c r="D16" s="10" t="s">
        <v>45</v>
      </c>
      <c r="E16" s="10" t="s">
        <v>47</v>
      </c>
      <c r="F16" s="11">
        <v>24</v>
      </c>
      <c r="G16" s="12"/>
      <c r="H16" s="12"/>
      <c r="I16" s="12"/>
      <c r="J16" s="12"/>
      <c r="K16" s="12"/>
      <c r="L16" s="12"/>
      <c r="M16" s="12"/>
      <c r="N16" s="24">
        <v>33.6</v>
      </c>
      <c r="O16" s="24"/>
      <c r="P16" s="28">
        <f t="shared" si="3"/>
        <v>806.40000000000009</v>
      </c>
      <c r="Q16" s="29">
        <v>1201.2</v>
      </c>
      <c r="R16" s="18">
        <v>10</v>
      </c>
      <c r="S16" s="19">
        <f t="shared" si="4"/>
        <v>110.39028</v>
      </c>
      <c r="T16" s="26">
        <f t="shared" si="9"/>
        <v>274.40971999999994</v>
      </c>
      <c r="U16" s="27">
        <f t="shared" si="5"/>
        <v>274.40971999999994</v>
      </c>
      <c r="V16" s="21">
        <f t="shared" si="6"/>
        <v>0.34028983134920621</v>
      </c>
      <c r="W16" s="22">
        <f t="shared" si="7"/>
        <v>0</v>
      </c>
    </row>
    <row r="17" spans="1:23" x14ac:dyDescent="0.35">
      <c r="A17" s="11">
        <v>3600</v>
      </c>
      <c r="B17" s="9">
        <v>46238</v>
      </c>
      <c r="C17" s="10" t="s">
        <v>48</v>
      </c>
      <c r="D17" s="10" t="s">
        <v>45</v>
      </c>
      <c r="E17" s="10" t="s">
        <v>47</v>
      </c>
      <c r="F17" s="11">
        <v>30</v>
      </c>
      <c r="G17" s="12"/>
      <c r="H17" s="12"/>
      <c r="I17" s="12"/>
      <c r="J17" s="12"/>
      <c r="K17" s="12"/>
      <c r="L17" s="12"/>
      <c r="M17" s="12"/>
      <c r="N17" s="24">
        <v>33.6</v>
      </c>
      <c r="O17" s="24"/>
      <c r="P17" s="16">
        <f t="shared" si="3"/>
        <v>1008</v>
      </c>
      <c r="Q17" s="17">
        <v>1475.4</v>
      </c>
      <c r="R17" s="18">
        <v>60</v>
      </c>
      <c r="S17" s="19">
        <f t="shared" si="4"/>
        <v>135.58926</v>
      </c>
      <c r="T17" s="26">
        <f t="shared" si="9"/>
        <v>271.81074000000012</v>
      </c>
      <c r="U17" s="27">
        <f t="shared" si="5"/>
        <v>271.81074000000012</v>
      </c>
      <c r="V17" s="21">
        <f t="shared" si="6"/>
        <v>0.269653511904762</v>
      </c>
      <c r="W17" s="22">
        <f t="shared" si="7"/>
        <v>0</v>
      </c>
    </row>
    <row r="18" spans="1:23" x14ac:dyDescent="0.35">
      <c r="A18" s="11">
        <v>3601</v>
      </c>
      <c r="B18" s="9">
        <v>46238</v>
      </c>
      <c r="C18" s="10" t="s">
        <v>49</v>
      </c>
      <c r="D18" s="10" t="s">
        <v>45</v>
      </c>
      <c r="E18" s="10" t="s">
        <v>50</v>
      </c>
      <c r="F18" s="11">
        <v>120</v>
      </c>
      <c r="G18" s="12"/>
      <c r="H18" s="12"/>
      <c r="I18" s="12"/>
      <c r="J18" s="12"/>
      <c r="K18" s="12"/>
      <c r="L18" s="12"/>
      <c r="M18" s="12"/>
      <c r="N18" s="24">
        <v>2.64</v>
      </c>
      <c r="O18" s="24"/>
      <c r="P18" s="28">
        <f t="shared" si="3"/>
        <v>316.8</v>
      </c>
      <c r="Q18" s="29">
        <v>554.4</v>
      </c>
      <c r="R18" s="18">
        <v>59.74</v>
      </c>
      <c r="S18" s="19">
        <f t="shared" si="4"/>
        <v>50.949359999999999</v>
      </c>
      <c r="T18" s="26">
        <f t="shared" si="9"/>
        <v>126.91063999999996</v>
      </c>
      <c r="U18" s="27">
        <f t="shared" si="5"/>
        <v>126.91063999999996</v>
      </c>
      <c r="V18" s="21">
        <f t="shared" si="6"/>
        <v>0.40060176767676753</v>
      </c>
      <c r="W18" s="22">
        <f t="shared" si="7"/>
        <v>0</v>
      </c>
    </row>
    <row r="19" spans="1:23" x14ac:dyDescent="0.35">
      <c r="A19" s="11">
        <v>3603</v>
      </c>
      <c r="B19" s="9"/>
      <c r="C19" s="10"/>
      <c r="D19" s="10" t="s">
        <v>45</v>
      </c>
      <c r="E19" s="10" t="s">
        <v>51</v>
      </c>
      <c r="F19" s="11">
        <v>65</v>
      </c>
      <c r="G19" s="12"/>
      <c r="H19" s="12"/>
      <c r="I19" s="12"/>
      <c r="J19" s="12"/>
      <c r="K19" s="12"/>
      <c r="L19" s="12"/>
      <c r="M19" s="12"/>
      <c r="N19" s="25">
        <v>4.41</v>
      </c>
      <c r="O19" s="25"/>
      <c r="P19" s="30">
        <f t="shared" si="3"/>
        <v>286.65000000000003</v>
      </c>
      <c r="Q19" s="31">
        <v>499.85</v>
      </c>
      <c r="R19" s="18">
        <v>0</v>
      </c>
      <c r="S19" s="19">
        <f t="shared" si="4"/>
        <v>45.936214999999997</v>
      </c>
      <c r="T19" s="26">
        <f t="shared" si="9"/>
        <v>167.26378499999998</v>
      </c>
      <c r="U19" s="19">
        <f t="shared" si="5"/>
        <v>167.26378499999998</v>
      </c>
      <c r="V19" s="21">
        <f t="shared" si="6"/>
        <v>0.58351224489795905</v>
      </c>
      <c r="W19" s="22">
        <f t="shared" si="7"/>
        <v>0</v>
      </c>
    </row>
    <row r="20" spans="1:23" x14ac:dyDescent="0.35">
      <c r="A20" s="11">
        <v>3604</v>
      </c>
      <c r="B20" s="9">
        <v>46240</v>
      </c>
      <c r="C20" s="10" t="s">
        <v>52</v>
      </c>
      <c r="D20" s="10" t="s">
        <v>45</v>
      </c>
      <c r="E20" s="10" t="s">
        <v>50</v>
      </c>
      <c r="F20" s="11">
        <v>288</v>
      </c>
      <c r="G20" s="12"/>
      <c r="H20" s="12"/>
      <c r="I20" s="12"/>
      <c r="J20" s="12"/>
      <c r="K20" s="12"/>
      <c r="L20" s="12"/>
      <c r="M20" s="12"/>
      <c r="N20" s="24">
        <v>2.66</v>
      </c>
      <c r="O20" s="24"/>
      <c r="P20" s="30">
        <f t="shared" si="3"/>
        <v>766.08</v>
      </c>
      <c r="Q20" s="31">
        <v>1673.28</v>
      </c>
      <c r="R20" s="18">
        <v>150.91999999999999</v>
      </c>
      <c r="S20" s="19">
        <f t="shared" si="4"/>
        <v>153.77443199999999</v>
      </c>
      <c r="T20" s="26">
        <f t="shared" si="9"/>
        <v>602.50556800000004</v>
      </c>
      <c r="U20" s="19">
        <f t="shared" si="5"/>
        <v>602.50556800000004</v>
      </c>
      <c r="V20" s="21">
        <f t="shared" si="6"/>
        <v>0.78647865497076019</v>
      </c>
      <c r="W20" s="22">
        <f t="shared" si="7"/>
        <v>0</v>
      </c>
    </row>
    <row r="21" spans="1:23" x14ac:dyDescent="0.35">
      <c r="A21" s="11">
        <v>3605</v>
      </c>
      <c r="B21" s="9">
        <v>46240</v>
      </c>
      <c r="C21" s="10" t="s">
        <v>53</v>
      </c>
      <c r="D21" s="10" t="s">
        <v>45</v>
      </c>
      <c r="E21" s="10" t="s">
        <v>54</v>
      </c>
      <c r="F21" s="11">
        <v>4</v>
      </c>
      <c r="G21" s="12"/>
      <c r="H21" s="12"/>
      <c r="I21" s="12"/>
      <c r="J21" s="12"/>
      <c r="K21" s="12"/>
      <c r="L21" s="12"/>
      <c r="M21" s="12"/>
      <c r="N21" s="24">
        <v>9.2899999999999991</v>
      </c>
      <c r="O21" s="24"/>
      <c r="P21" s="30">
        <f t="shared" si="3"/>
        <v>37.159999999999997</v>
      </c>
      <c r="Q21" s="31">
        <v>51.16</v>
      </c>
      <c r="R21" s="18">
        <v>0</v>
      </c>
      <c r="S21" s="19">
        <f t="shared" si="4"/>
        <v>4.7016039999999997</v>
      </c>
      <c r="T21" s="26">
        <f t="shared" si="9"/>
        <v>9.2983960000000003</v>
      </c>
      <c r="U21" s="19">
        <f t="shared" si="5"/>
        <v>9.2983960000000003</v>
      </c>
      <c r="V21" s="21">
        <f t="shared" si="6"/>
        <v>0.25022594187298175</v>
      </c>
      <c r="W21" s="22">
        <f t="shared" si="7"/>
        <v>0</v>
      </c>
    </row>
    <row r="22" spans="1:23" x14ac:dyDescent="0.35">
      <c r="A22" s="11">
        <v>3605</v>
      </c>
      <c r="B22" s="9"/>
      <c r="C22" s="10"/>
      <c r="D22" s="10" t="s">
        <v>45</v>
      </c>
      <c r="E22" s="10" t="s">
        <v>55</v>
      </c>
      <c r="F22" s="11">
        <v>32</v>
      </c>
      <c r="G22" s="12"/>
      <c r="H22" s="12"/>
      <c r="I22" s="12"/>
      <c r="J22" s="12"/>
      <c r="K22" s="12"/>
      <c r="L22" s="12"/>
      <c r="M22" s="12"/>
      <c r="N22" s="25">
        <v>15</v>
      </c>
      <c r="O22" s="25"/>
      <c r="P22" s="30">
        <f t="shared" si="3"/>
        <v>480</v>
      </c>
      <c r="Q22" s="31">
        <v>765.76</v>
      </c>
      <c r="R22" s="18">
        <v>64.13</v>
      </c>
      <c r="S22" s="19">
        <f t="shared" si="4"/>
        <v>70.373343999999989</v>
      </c>
      <c r="T22" s="26">
        <f t="shared" si="9"/>
        <v>151.25665600000002</v>
      </c>
      <c r="U22" s="19">
        <f t="shared" si="5"/>
        <v>151.25665600000002</v>
      </c>
      <c r="V22" s="21">
        <f t="shared" si="6"/>
        <v>0.31511803333333338</v>
      </c>
      <c r="W22" s="22">
        <f t="shared" si="7"/>
        <v>0</v>
      </c>
    </row>
    <row r="23" spans="1:23" x14ac:dyDescent="0.35">
      <c r="A23" s="11">
        <v>3606</v>
      </c>
      <c r="B23" s="9">
        <v>46244</v>
      </c>
      <c r="C23" s="10" t="s">
        <v>52</v>
      </c>
      <c r="D23" s="10" t="s">
        <v>45</v>
      </c>
      <c r="E23" s="10" t="s">
        <v>56</v>
      </c>
      <c r="F23" s="11">
        <v>150</v>
      </c>
      <c r="G23" s="12"/>
      <c r="H23" s="12"/>
      <c r="I23" s="12"/>
      <c r="J23" s="12"/>
      <c r="K23" s="12"/>
      <c r="L23" s="12"/>
      <c r="M23" s="12"/>
      <c r="N23" s="24">
        <v>14.3</v>
      </c>
      <c r="O23" s="24"/>
      <c r="P23" s="16">
        <f t="shared" si="3"/>
        <v>2145</v>
      </c>
      <c r="Q23" s="17">
        <v>3529.5</v>
      </c>
      <c r="R23" s="18">
        <v>283.77</v>
      </c>
      <c r="S23" s="19">
        <f t="shared" si="4"/>
        <v>324.36104999999998</v>
      </c>
      <c r="T23" s="26">
        <f t="shared" si="9"/>
        <v>776.36895000000004</v>
      </c>
      <c r="U23" s="19">
        <f t="shared" si="5"/>
        <v>776.36895000000004</v>
      </c>
      <c r="V23" s="21">
        <f t="shared" si="6"/>
        <v>0.36194356643356645</v>
      </c>
      <c r="W23" s="22">
        <f t="shared" si="7"/>
        <v>0</v>
      </c>
    </row>
    <row r="24" spans="1:23" x14ac:dyDescent="0.35">
      <c r="A24" s="11">
        <v>3607</v>
      </c>
      <c r="B24" s="9">
        <v>46244</v>
      </c>
      <c r="C24" s="10" t="s">
        <v>57</v>
      </c>
      <c r="D24" s="10" t="s">
        <v>45</v>
      </c>
      <c r="E24" s="10" t="s">
        <v>58</v>
      </c>
      <c r="F24" s="11">
        <v>24</v>
      </c>
      <c r="G24" s="12"/>
      <c r="H24" s="12"/>
      <c r="I24" s="12"/>
      <c r="J24" s="12"/>
      <c r="K24" s="12"/>
      <c r="L24" s="12"/>
      <c r="M24" s="12"/>
      <c r="N24" s="25">
        <v>21.96</v>
      </c>
      <c r="O24" s="25"/>
      <c r="P24" s="30">
        <f t="shared" si="3"/>
        <v>527.04</v>
      </c>
      <c r="Q24" s="31">
        <v>799.92</v>
      </c>
      <c r="R24" s="18">
        <v>60</v>
      </c>
      <c r="S24" s="19">
        <f t="shared" si="4"/>
        <v>73.512647999999999</v>
      </c>
      <c r="T24" s="26">
        <f t="shared" si="9"/>
        <v>139.36735199999998</v>
      </c>
      <c r="U24" s="19">
        <f t="shared" si="5"/>
        <v>139.36735199999998</v>
      </c>
      <c r="V24" s="21">
        <f t="shared" si="6"/>
        <v>0.26443410746812385</v>
      </c>
      <c r="W24" s="22">
        <f t="shared" si="7"/>
        <v>0</v>
      </c>
    </row>
    <row r="25" spans="1:23" x14ac:dyDescent="0.35">
      <c r="A25" s="11">
        <v>3608</v>
      </c>
      <c r="B25" s="9">
        <v>46244</v>
      </c>
      <c r="C25" s="10" t="s">
        <v>59</v>
      </c>
      <c r="D25" s="10" t="s">
        <v>45</v>
      </c>
      <c r="E25" s="10" t="s">
        <v>56</v>
      </c>
      <c r="F25" s="11">
        <v>200</v>
      </c>
      <c r="G25" s="12"/>
      <c r="H25" s="12"/>
      <c r="I25" s="12"/>
      <c r="J25" s="12"/>
      <c r="K25" s="12"/>
      <c r="L25" s="12"/>
      <c r="M25" s="12"/>
      <c r="N25" s="24">
        <v>14.3</v>
      </c>
      <c r="O25" s="24"/>
      <c r="P25" s="16">
        <f t="shared" si="3"/>
        <v>2860</v>
      </c>
      <c r="Q25" s="17">
        <v>4706</v>
      </c>
      <c r="R25" s="18">
        <v>389.97</v>
      </c>
      <c r="S25" s="19">
        <f t="shared" si="4"/>
        <v>432.48139999999995</v>
      </c>
      <c r="T25" s="26">
        <f t="shared" si="9"/>
        <v>1023.5486000000001</v>
      </c>
      <c r="U25" s="19">
        <f t="shared" si="5"/>
        <v>1023.5486000000001</v>
      </c>
      <c r="V25" s="21">
        <f t="shared" si="6"/>
        <v>0.35788412587412588</v>
      </c>
      <c r="W25" s="22">
        <f t="shared" si="7"/>
        <v>0</v>
      </c>
    </row>
    <row r="26" spans="1:23" x14ac:dyDescent="0.35">
      <c r="A26" s="11">
        <v>3609</v>
      </c>
      <c r="B26" s="9">
        <v>46245</v>
      </c>
      <c r="C26" s="10" t="s">
        <v>60</v>
      </c>
      <c r="D26" s="10" t="s">
        <v>45</v>
      </c>
      <c r="E26" s="10" t="s">
        <v>56</v>
      </c>
      <c r="F26" s="11">
        <v>140</v>
      </c>
      <c r="G26" s="12"/>
      <c r="H26" s="12"/>
      <c r="I26" s="12"/>
      <c r="J26" s="12"/>
      <c r="K26" s="12"/>
      <c r="L26" s="12"/>
      <c r="M26" s="12"/>
      <c r="N26" s="24">
        <v>14.3</v>
      </c>
      <c r="O26" s="24"/>
      <c r="P26" s="16">
        <f t="shared" si="3"/>
        <v>2002</v>
      </c>
      <c r="Q26" s="17">
        <v>3294.2</v>
      </c>
      <c r="R26" s="18">
        <v>490.72</v>
      </c>
      <c r="S26" s="19">
        <f t="shared" si="4"/>
        <v>302.73697999999996</v>
      </c>
      <c r="T26" s="26">
        <f t="shared" si="9"/>
        <v>498.74301999999983</v>
      </c>
      <c r="U26" s="19">
        <f t="shared" si="5"/>
        <v>498.74301999999983</v>
      </c>
      <c r="V26" s="21">
        <f t="shared" si="6"/>
        <v>0.24912238761238753</v>
      </c>
      <c r="W26" s="22">
        <f t="shared" si="7"/>
        <v>0</v>
      </c>
    </row>
    <row r="27" spans="1:23" x14ac:dyDescent="0.35">
      <c r="A27" s="11">
        <v>3613</v>
      </c>
      <c r="B27" s="9">
        <v>46245</v>
      </c>
      <c r="C27" s="10" t="s">
        <v>61</v>
      </c>
      <c r="D27" s="10" t="s">
        <v>45</v>
      </c>
      <c r="E27" s="10" t="s">
        <v>56</v>
      </c>
      <c r="F27" s="11">
        <v>48</v>
      </c>
      <c r="G27" s="12"/>
      <c r="H27" s="12"/>
      <c r="I27" s="12"/>
      <c r="J27" s="12"/>
      <c r="K27" s="12"/>
      <c r="L27" s="12"/>
      <c r="M27" s="12"/>
      <c r="N27" s="24">
        <v>14.3</v>
      </c>
      <c r="O27" s="24"/>
      <c r="P27" s="16">
        <f t="shared" si="3"/>
        <v>686.40000000000009</v>
      </c>
      <c r="Q27" s="17">
        <v>1290.72</v>
      </c>
      <c r="R27" s="18">
        <v>0</v>
      </c>
      <c r="S27" s="19">
        <f t="shared" si="4"/>
        <v>118.61716799999999</v>
      </c>
      <c r="T27" s="26">
        <f t="shared" si="9"/>
        <v>485.70283199999994</v>
      </c>
      <c r="U27" s="19">
        <f t="shared" si="5"/>
        <v>485.70283199999994</v>
      </c>
      <c r="V27" s="21">
        <f t="shared" si="6"/>
        <v>0.70760902097902079</v>
      </c>
      <c r="W27" s="22">
        <f t="shared" si="7"/>
        <v>0</v>
      </c>
    </row>
    <row r="28" spans="1:23" x14ac:dyDescent="0.35">
      <c r="A28" s="11">
        <v>3614</v>
      </c>
      <c r="B28" s="9">
        <v>46246</v>
      </c>
      <c r="C28" s="10" t="s">
        <v>62</v>
      </c>
      <c r="D28" s="10" t="s">
        <v>45</v>
      </c>
      <c r="E28" s="10" t="s">
        <v>63</v>
      </c>
      <c r="F28" s="11">
        <v>30</v>
      </c>
      <c r="G28" s="12"/>
      <c r="H28" s="12"/>
      <c r="I28" s="12"/>
      <c r="J28" s="12"/>
      <c r="K28" s="12"/>
      <c r="L28" s="12"/>
      <c r="M28" s="12"/>
      <c r="N28" s="24">
        <v>18.84</v>
      </c>
      <c r="O28" s="24"/>
      <c r="P28" s="16">
        <f t="shared" si="3"/>
        <v>565.20000000000005</v>
      </c>
      <c r="Q28" s="17">
        <v>911.7</v>
      </c>
      <c r="R28" s="18">
        <v>49.89</v>
      </c>
      <c r="S28" s="19">
        <f t="shared" si="4"/>
        <v>83.785229999999999</v>
      </c>
      <c r="T28" s="26">
        <f t="shared" si="9"/>
        <v>212.82477</v>
      </c>
      <c r="U28" s="19">
        <f t="shared" si="5"/>
        <v>212.82477</v>
      </c>
      <c r="V28" s="21">
        <f t="shared" si="6"/>
        <v>0.37654771762208067</v>
      </c>
      <c r="W28" s="22">
        <f t="shared" si="7"/>
        <v>0</v>
      </c>
    </row>
    <row r="29" spans="1:23" x14ac:dyDescent="0.35">
      <c r="A29" s="11">
        <v>3614</v>
      </c>
      <c r="B29" s="9"/>
      <c r="C29" s="10"/>
      <c r="D29" s="10" t="s">
        <v>45</v>
      </c>
      <c r="E29" s="10" t="s">
        <v>64</v>
      </c>
      <c r="F29" s="11">
        <v>30</v>
      </c>
      <c r="G29" s="12"/>
      <c r="H29" s="12"/>
      <c r="I29" s="12"/>
      <c r="J29" s="12"/>
      <c r="K29" s="12"/>
      <c r="L29" s="12"/>
      <c r="M29" s="12"/>
      <c r="N29" s="24">
        <v>10.28</v>
      </c>
      <c r="O29" s="24"/>
      <c r="P29" s="16">
        <f t="shared" si="3"/>
        <v>308.39999999999998</v>
      </c>
      <c r="Q29" s="17">
        <v>545.70000000000005</v>
      </c>
      <c r="R29" s="18">
        <v>50</v>
      </c>
      <c r="S29" s="19">
        <f t="shared" si="4"/>
        <v>50.149830000000001</v>
      </c>
      <c r="T29" s="26">
        <f t="shared" si="9"/>
        <v>137.15017000000006</v>
      </c>
      <c r="U29" s="19">
        <f t="shared" si="5"/>
        <v>137.15017000000006</v>
      </c>
      <c r="V29" s="21">
        <f t="shared" si="6"/>
        <v>0.444715207522698</v>
      </c>
      <c r="W29" s="22">
        <f t="shared" si="7"/>
        <v>0</v>
      </c>
    </row>
    <row r="30" spans="1:23" x14ac:dyDescent="0.35">
      <c r="A30" s="11">
        <v>3616</v>
      </c>
      <c r="B30" s="9"/>
      <c r="C30" s="10"/>
      <c r="D30" s="10" t="s">
        <v>45</v>
      </c>
      <c r="E30" s="10" t="s">
        <v>50</v>
      </c>
      <c r="F30" s="11">
        <v>30</v>
      </c>
      <c r="G30" s="12"/>
      <c r="H30" s="12"/>
      <c r="I30" s="12"/>
      <c r="J30" s="12"/>
      <c r="K30" s="12"/>
      <c r="L30" s="12"/>
      <c r="M30" s="12"/>
      <c r="N30" s="24">
        <v>2.64</v>
      </c>
      <c r="O30" s="24"/>
      <c r="P30" s="16">
        <f t="shared" si="3"/>
        <v>79.2</v>
      </c>
      <c r="Q30" s="17">
        <v>2988.6</v>
      </c>
      <c r="R30" s="18">
        <v>0</v>
      </c>
      <c r="S30" s="19">
        <f t="shared" si="4"/>
        <v>274.65233999999998</v>
      </c>
      <c r="T30" s="26">
        <f t="shared" si="9"/>
        <v>2634.74766</v>
      </c>
      <c r="U30" s="19">
        <f t="shared" si="5"/>
        <v>2634.74766</v>
      </c>
      <c r="V30" s="21">
        <f t="shared" si="6"/>
        <v>33.267015909090908</v>
      </c>
      <c r="W30" s="22">
        <f t="shared" si="7"/>
        <v>0</v>
      </c>
    </row>
    <row r="31" spans="1:23" x14ac:dyDescent="0.35">
      <c r="A31" s="11">
        <v>3618</v>
      </c>
      <c r="B31" s="9">
        <v>46246</v>
      </c>
      <c r="C31" s="10" t="s">
        <v>65</v>
      </c>
      <c r="D31" s="10" t="s">
        <v>45</v>
      </c>
      <c r="E31" s="10" t="s">
        <v>58</v>
      </c>
      <c r="F31" s="11">
        <v>48</v>
      </c>
      <c r="G31" s="12"/>
      <c r="H31" s="12"/>
      <c r="I31" s="12"/>
      <c r="J31" s="12"/>
      <c r="K31" s="12"/>
      <c r="L31" s="12"/>
      <c r="M31" s="12"/>
      <c r="N31" s="24">
        <v>21.96</v>
      </c>
      <c r="O31" s="24"/>
      <c r="P31" s="16">
        <f t="shared" si="3"/>
        <v>1054.08</v>
      </c>
      <c r="Q31" s="17">
        <v>1599.84</v>
      </c>
      <c r="R31" s="18">
        <v>25</v>
      </c>
      <c r="S31" s="19">
        <f t="shared" si="4"/>
        <v>147.025296</v>
      </c>
      <c r="T31" s="26">
        <f t="shared" si="9"/>
        <v>373.73470399999997</v>
      </c>
      <c r="U31" s="19">
        <f t="shared" si="5"/>
        <v>373.73470399999997</v>
      </c>
      <c r="V31" s="21">
        <f t="shared" si="6"/>
        <v>0.35456009411050393</v>
      </c>
      <c r="W31" s="22">
        <f t="shared" si="7"/>
        <v>0</v>
      </c>
    </row>
    <row r="32" spans="1:23" x14ac:dyDescent="0.35">
      <c r="A32" s="11">
        <v>3619</v>
      </c>
      <c r="B32" s="9">
        <v>46247</v>
      </c>
      <c r="C32" s="10" t="s">
        <v>65</v>
      </c>
      <c r="D32" s="10" t="s">
        <v>45</v>
      </c>
      <c r="E32" s="10" t="s">
        <v>46</v>
      </c>
      <c r="F32" s="11">
        <v>144</v>
      </c>
      <c r="G32" s="12"/>
      <c r="H32" s="12"/>
      <c r="I32" s="12"/>
      <c r="J32" s="12"/>
      <c r="K32" s="12"/>
      <c r="L32" s="12"/>
      <c r="M32" s="12"/>
      <c r="N32" s="24">
        <v>25.04</v>
      </c>
      <c r="O32" s="24"/>
      <c r="P32" s="16">
        <f t="shared" si="3"/>
        <v>3605.7599999999998</v>
      </c>
      <c r="Q32" s="17">
        <v>5748.48</v>
      </c>
      <c r="R32" s="18">
        <v>90</v>
      </c>
      <c r="S32" s="19">
        <f t="shared" si="4"/>
        <v>528.28531199999998</v>
      </c>
      <c r="T32" s="26">
        <f t="shared" si="9"/>
        <v>1524.4346879999998</v>
      </c>
      <c r="U32" s="19">
        <f t="shared" si="5"/>
        <v>1524.4346879999998</v>
      </c>
      <c r="V32" s="21">
        <f t="shared" si="6"/>
        <v>0.42277763578274757</v>
      </c>
      <c r="W32" s="22">
        <f t="shared" si="7"/>
        <v>0</v>
      </c>
    </row>
    <row r="33" spans="1:23" x14ac:dyDescent="0.35">
      <c r="A33" s="11">
        <v>3619</v>
      </c>
      <c r="B33" s="9"/>
      <c r="C33" s="10"/>
      <c r="D33" s="10" t="s">
        <v>45</v>
      </c>
      <c r="E33" s="10" t="s">
        <v>47</v>
      </c>
      <c r="F33" s="11">
        <v>144</v>
      </c>
      <c r="G33" s="12"/>
      <c r="H33" s="12"/>
      <c r="I33" s="12"/>
      <c r="J33" s="12"/>
      <c r="K33" s="12"/>
      <c r="L33" s="12"/>
      <c r="M33" s="12"/>
      <c r="N33" s="24">
        <v>33.229999999999997</v>
      </c>
      <c r="O33" s="24"/>
      <c r="P33" s="16">
        <f t="shared" si="3"/>
        <v>4785.12</v>
      </c>
      <c r="Q33" s="17">
        <v>7207.2</v>
      </c>
      <c r="R33" s="18">
        <v>0</v>
      </c>
      <c r="S33" s="19">
        <f t="shared" si="4"/>
        <v>662.34168</v>
      </c>
      <c r="T33" s="26">
        <f t="shared" si="9"/>
        <v>1759.7383199999999</v>
      </c>
      <c r="U33" s="19">
        <f t="shared" si="5"/>
        <v>1759.7383199999999</v>
      </c>
      <c r="V33" s="21">
        <f t="shared" si="6"/>
        <v>0.36775218176346675</v>
      </c>
      <c r="W33" s="22">
        <f t="shared" si="7"/>
        <v>0</v>
      </c>
    </row>
    <row r="34" spans="1:23" x14ac:dyDescent="0.35">
      <c r="A34" s="11">
        <v>3620</v>
      </c>
      <c r="B34" s="9">
        <v>46247</v>
      </c>
      <c r="C34" s="10" t="s">
        <v>65</v>
      </c>
      <c r="D34" s="10" t="s">
        <v>45</v>
      </c>
      <c r="E34" s="10" t="s">
        <v>46</v>
      </c>
      <c r="F34" s="11">
        <v>72</v>
      </c>
      <c r="G34" s="12"/>
      <c r="H34" s="12"/>
      <c r="I34" s="12"/>
      <c r="J34" s="12"/>
      <c r="K34" s="12"/>
      <c r="L34" s="12"/>
      <c r="M34" s="12"/>
      <c r="N34" s="24">
        <v>25.04</v>
      </c>
      <c r="O34" s="24"/>
      <c r="P34" s="16">
        <f t="shared" si="3"/>
        <v>1802.8799999999999</v>
      </c>
      <c r="Q34" s="17">
        <v>2874.24</v>
      </c>
      <c r="R34" s="18">
        <v>90</v>
      </c>
      <c r="S34" s="19">
        <f t="shared" si="4"/>
        <v>264.14265599999999</v>
      </c>
      <c r="T34" s="26">
        <f t="shared" si="9"/>
        <v>717.21734399999991</v>
      </c>
      <c r="U34" s="19">
        <f t="shared" si="5"/>
        <v>717.21734399999991</v>
      </c>
      <c r="V34" s="21">
        <f t="shared" si="6"/>
        <v>0.39781757188498401</v>
      </c>
      <c r="W34" s="22">
        <f t="shared" si="7"/>
        <v>0</v>
      </c>
    </row>
    <row r="35" spans="1:23" x14ac:dyDescent="0.35">
      <c r="A35" s="11">
        <v>3621</v>
      </c>
      <c r="B35" s="9">
        <v>46247</v>
      </c>
      <c r="C35" s="10" t="s">
        <v>48</v>
      </c>
      <c r="D35" s="10" t="s">
        <v>45</v>
      </c>
      <c r="E35" s="10" t="s">
        <v>47</v>
      </c>
      <c r="F35" s="11">
        <v>114</v>
      </c>
      <c r="G35" s="12"/>
      <c r="H35" s="12"/>
      <c r="I35" s="12"/>
      <c r="J35" s="12"/>
      <c r="K35" s="12"/>
      <c r="L35" s="12"/>
      <c r="M35" s="12"/>
      <c r="N35" s="24">
        <v>33.229999999999997</v>
      </c>
      <c r="O35" s="24"/>
      <c r="P35" s="16">
        <f t="shared" si="3"/>
        <v>3788.22</v>
      </c>
      <c r="Q35" s="17">
        <v>5606.52</v>
      </c>
      <c r="R35" s="18">
        <v>120</v>
      </c>
      <c r="S35" s="19">
        <f t="shared" si="4"/>
        <v>515.23918800000001</v>
      </c>
      <c r="T35" s="26">
        <f t="shared" si="9"/>
        <v>1183.0608120000006</v>
      </c>
      <c r="U35" s="19">
        <f t="shared" si="5"/>
        <v>1183.0608120000006</v>
      </c>
      <c r="V35" s="21">
        <f t="shared" si="6"/>
        <v>0.31229992239099119</v>
      </c>
      <c r="W35" s="22">
        <f t="shared" si="7"/>
        <v>0</v>
      </c>
    </row>
    <row r="36" spans="1:23" x14ac:dyDescent="0.35">
      <c r="A36" s="11">
        <v>3622</v>
      </c>
      <c r="B36" s="9">
        <v>46248</v>
      </c>
      <c r="C36" s="10" t="s">
        <v>66</v>
      </c>
      <c r="D36" s="10" t="s">
        <v>45</v>
      </c>
      <c r="E36" s="10" t="s">
        <v>67</v>
      </c>
      <c r="F36" s="11">
        <v>50</v>
      </c>
      <c r="G36" s="12"/>
      <c r="H36" s="12"/>
      <c r="I36" s="12"/>
      <c r="J36" s="12"/>
      <c r="K36" s="12"/>
      <c r="L36" s="12"/>
      <c r="M36" s="12"/>
      <c r="N36" s="24">
        <v>9.61</v>
      </c>
      <c r="O36" s="24"/>
      <c r="P36" s="16">
        <f t="shared" si="3"/>
        <v>480.5</v>
      </c>
      <c r="Q36" s="17">
        <v>873.5</v>
      </c>
      <c r="R36" s="18">
        <v>103.18</v>
      </c>
      <c r="S36" s="19">
        <f t="shared" si="4"/>
        <v>80.274649999999994</v>
      </c>
      <c r="T36" s="26">
        <f t="shared" si="9"/>
        <v>209.54534999999998</v>
      </c>
      <c r="U36" s="19">
        <f t="shared" si="5"/>
        <v>209.54534999999998</v>
      </c>
      <c r="V36" s="21">
        <f t="shared" si="6"/>
        <v>0.43609854318418312</v>
      </c>
      <c r="W36" s="22">
        <f t="shared" si="7"/>
        <v>0</v>
      </c>
    </row>
    <row r="37" spans="1:23" x14ac:dyDescent="0.35">
      <c r="A37" s="11">
        <v>3623</v>
      </c>
      <c r="B37" s="9">
        <v>46251</v>
      </c>
      <c r="C37" s="10" t="s">
        <v>68</v>
      </c>
      <c r="D37" s="10" t="s">
        <v>45</v>
      </c>
      <c r="E37" s="10" t="s">
        <v>69</v>
      </c>
      <c r="F37" s="11">
        <v>24</v>
      </c>
      <c r="G37" s="12"/>
      <c r="H37" s="12"/>
      <c r="I37" s="12"/>
      <c r="J37" s="12"/>
      <c r="K37" s="12"/>
      <c r="L37" s="12"/>
      <c r="M37" s="12"/>
      <c r="N37" s="24">
        <v>11.41</v>
      </c>
      <c r="O37" s="24"/>
      <c r="P37" s="16">
        <f t="shared" si="3"/>
        <v>273.84000000000003</v>
      </c>
      <c r="Q37" s="17">
        <v>594</v>
      </c>
      <c r="R37" s="18">
        <v>57.6</v>
      </c>
      <c r="S37" s="19">
        <f t="shared" si="4"/>
        <v>54.5886</v>
      </c>
      <c r="T37" s="26">
        <f t="shared" si="9"/>
        <v>207.97139999999996</v>
      </c>
      <c r="U37" s="19">
        <f t="shared" si="5"/>
        <v>207.97139999999996</v>
      </c>
      <c r="V37" s="21">
        <f t="shared" si="6"/>
        <v>0.75946319018404884</v>
      </c>
      <c r="W37" s="22">
        <f t="shared" si="7"/>
        <v>0</v>
      </c>
    </row>
    <row r="38" spans="1:23" x14ac:dyDescent="0.35">
      <c r="A38" s="11">
        <v>3624</v>
      </c>
      <c r="B38" s="9">
        <v>46251</v>
      </c>
      <c r="C38" s="10" t="s">
        <v>52</v>
      </c>
      <c r="D38" s="10" t="s">
        <v>45</v>
      </c>
      <c r="E38" s="10" t="s">
        <v>50</v>
      </c>
      <c r="F38" s="11">
        <v>288</v>
      </c>
      <c r="G38" s="12"/>
      <c r="H38" s="12"/>
      <c r="I38" s="12"/>
      <c r="J38" s="12"/>
      <c r="K38" s="12"/>
      <c r="L38" s="12"/>
      <c r="M38" s="12"/>
      <c r="N38" s="24">
        <v>2.64</v>
      </c>
      <c r="O38" s="24"/>
      <c r="P38" s="16">
        <f t="shared" si="3"/>
        <v>760.32</v>
      </c>
      <c r="Q38" s="17">
        <v>1673.28</v>
      </c>
      <c r="R38" s="18">
        <v>445</v>
      </c>
      <c r="S38" s="19">
        <f t="shared" si="4"/>
        <v>153.77443199999999</v>
      </c>
      <c r="T38" s="26">
        <f t="shared" si="9"/>
        <v>314.18556799999993</v>
      </c>
      <c r="U38" s="19">
        <f t="shared" si="5"/>
        <v>314.18556799999993</v>
      </c>
      <c r="V38" s="21">
        <f t="shared" si="6"/>
        <v>0.4132280723905723</v>
      </c>
      <c r="W38" s="22">
        <f t="shared" si="7"/>
        <v>0</v>
      </c>
    </row>
    <row r="39" spans="1:23" x14ac:dyDescent="0.35">
      <c r="A39" s="11">
        <v>3625</v>
      </c>
      <c r="B39" s="9">
        <v>46251</v>
      </c>
      <c r="C39" s="10" t="s">
        <v>70</v>
      </c>
      <c r="D39" s="10" t="s">
        <v>45</v>
      </c>
      <c r="E39" s="10">
        <v>40100460</v>
      </c>
      <c r="F39" s="11">
        <v>70</v>
      </c>
      <c r="G39" s="12"/>
      <c r="H39" s="12"/>
      <c r="I39" s="12"/>
      <c r="J39" s="12"/>
      <c r="K39" s="12"/>
      <c r="L39" s="12"/>
      <c r="M39" s="12"/>
      <c r="N39" s="24">
        <v>16.89</v>
      </c>
      <c r="O39" s="24"/>
      <c r="P39" s="16">
        <f t="shared" si="3"/>
        <v>1182.3</v>
      </c>
      <c r="Q39" s="17">
        <v>1836.8</v>
      </c>
      <c r="R39" s="18">
        <v>140</v>
      </c>
      <c r="S39" s="19">
        <f t="shared" si="4"/>
        <v>168.80192</v>
      </c>
      <c r="T39" s="26">
        <f t="shared" si="9"/>
        <v>345.69808</v>
      </c>
      <c r="U39" s="19">
        <f t="shared" si="5"/>
        <v>345.69808</v>
      </c>
      <c r="V39" s="21">
        <f t="shared" si="6"/>
        <v>0.29239455298993489</v>
      </c>
      <c r="W39" s="22">
        <f t="shared" si="7"/>
        <v>0</v>
      </c>
    </row>
    <row r="40" spans="1:23" x14ac:dyDescent="0.35">
      <c r="A40" s="11">
        <v>3626</v>
      </c>
      <c r="B40" s="9">
        <v>46251</v>
      </c>
      <c r="C40" s="10" t="s">
        <v>44</v>
      </c>
      <c r="D40" s="10" t="s">
        <v>45</v>
      </c>
      <c r="E40" s="10" t="s">
        <v>47</v>
      </c>
      <c r="F40" s="11">
        <v>24</v>
      </c>
      <c r="G40" s="12"/>
      <c r="H40" s="12"/>
      <c r="I40" s="12"/>
      <c r="J40" s="12"/>
      <c r="K40" s="12"/>
      <c r="L40" s="12"/>
      <c r="M40" s="12"/>
      <c r="N40" s="24">
        <v>33.229999999999997</v>
      </c>
      <c r="O40" s="24"/>
      <c r="P40" s="16">
        <f t="shared" si="3"/>
        <v>797.52</v>
      </c>
      <c r="Q40" s="17">
        <v>1201.2</v>
      </c>
      <c r="R40" s="18">
        <v>25</v>
      </c>
      <c r="S40" s="19">
        <f t="shared" si="4"/>
        <v>110.39028</v>
      </c>
      <c r="T40" s="26">
        <f t="shared" si="9"/>
        <v>268.28972000000005</v>
      </c>
      <c r="U40" s="19">
        <f t="shared" si="5"/>
        <v>268.28972000000005</v>
      </c>
      <c r="V40" s="21">
        <f t="shared" si="6"/>
        <v>0.33640500551710306</v>
      </c>
      <c r="W40" s="22">
        <f t="shared" si="7"/>
        <v>0</v>
      </c>
    </row>
    <row r="41" spans="1:23" x14ac:dyDescent="0.35">
      <c r="A41" s="11">
        <v>3627</v>
      </c>
      <c r="B41" s="9"/>
      <c r="C41" s="10"/>
      <c r="D41" s="10" t="s">
        <v>45</v>
      </c>
      <c r="E41" s="10" t="s">
        <v>58</v>
      </c>
      <c r="F41" s="11">
        <v>30</v>
      </c>
      <c r="G41" s="12"/>
      <c r="H41" s="12"/>
      <c r="I41" s="12"/>
      <c r="J41" s="12"/>
      <c r="K41" s="12"/>
      <c r="L41" s="12"/>
      <c r="M41" s="12"/>
      <c r="N41" s="24">
        <v>21.96</v>
      </c>
      <c r="O41" s="24"/>
      <c r="P41" s="16">
        <f t="shared" si="3"/>
        <v>658.80000000000007</v>
      </c>
      <c r="Q41" s="17">
        <v>1089.5999999999999</v>
      </c>
      <c r="R41" s="18">
        <v>10</v>
      </c>
      <c r="S41" s="19">
        <f t="shared" si="4"/>
        <v>100.13423999999999</v>
      </c>
      <c r="T41" s="26">
        <f t="shared" si="9"/>
        <v>320.66575999999986</v>
      </c>
      <c r="U41" s="19">
        <f t="shared" si="5"/>
        <v>320.66575999999986</v>
      </c>
      <c r="V41" s="21">
        <f t="shared" si="6"/>
        <v>0.48674219793564028</v>
      </c>
      <c r="W41" s="22">
        <f t="shared" si="7"/>
        <v>0</v>
      </c>
    </row>
    <row r="42" spans="1:23" x14ac:dyDescent="0.35">
      <c r="A42" s="11">
        <v>3628</v>
      </c>
      <c r="B42" s="9">
        <v>46252</v>
      </c>
      <c r="C42" s="10" t="s">
        <v>71</v>
      </c>
      <c r="D42" s="10" t="s">
        <v>45</v>
      </c>
      <c r="E42" s="10" t="s">
        <v>72</v>
      </c>
      <c r="F42" s="11">
        <v>45</v>
      </c>
      <c r="G42" s="12"/>
      <c r="H42" s="12"/>
      <c r="I42" s="12"/>
      <c r="J42" s="12"/>
      <c r="K42" s="12"/>
      <c r="L42" s="12"/>
      <c r="M42" s="12"/>
      <c r="N42" s="24">
        <v>16.600000000000001</v>
      </c>
      <c r="O42" s="24"/>
      <c r="P42" s="16">
        <f t="shared" si="3"/>
        <v>747.00000000000011</v>
      </c>
      <c r="Q42" s="17">
        <v>1170</v>
      </c>
      <c r="R42" s="18">
        <v>30</v>
      </c>
      <c r="S42" s="19">
        <f t="shared" si="4"/>
        <v>107.523</v>
      </c>
      <c r="T42" s="26">
        <f t="shared" si="9"/>
        <v>285.47699999999986</v>
      </c>
      <c r="U42" s="19">
        <f t="shared" si="5"/>
        <v>285.47699999999986</v>
      </c>
      <c r="V42" s="21">
        <f t="shared" si="6"/>
        <v>0.38216465863453791</v>
      </c>
      <c r="W42" s="22">
        <f t="shared" si="7"/>
        <v>0</v>
      </c>
    </row>
    <row r="43" spans="1:23" x14ac:dyDescent="0.35">
      <c r="A43" s="11">
        <v>3629</v>
      </c>
      <c r="B43" s="9">
        <v>46252</v>
      </c>
      <c r="C43" s="10" t="s">
        <v>44</v>
      </c>
      <c r="D43" s="10" t="s">
        <v>45</v>
      </c>
      <c r="E43" s="10" t="s">
        <v>47</v>
      </c>
      <c r="F43" s="11">
        <v>24</v>
      </c>
      <c r="G43" s="12"/>
      <c r="H43" s="12"/>
      <c r="I43" s="12"/>
      <c r="J43" s="12"/>
      <c r="K43" s="12"/>
      <c r="L43" s="12"/>
      <c r="M43" s="12"/>
      <c r="N43" s="24">
        <v>33.229999999999997</v>
      </c>
      <c r="O43" s="24"/>
      <c r="P43" s="16">
        <f t="shared" si="3"/>
        <v>797.52</v>
      </c>
      <c r="Q43" s="17">
        <v>1201.2</v>
      </c>
      <c r="R43" s="18">
        <v>10</v>
      </c>
      <c r="S43" s="19">
        <f t="shared" si="4"/>
        <v>110.39028</v>
      </c>
      <c r="T43" s="26">
        <f t="shared" si="9"/>
        <v>283.28972000000005</v>
      </c>
      <c r="U43" s="19">
        <f t="shared" si="5"/>
        <v>283.28972000000005</v>
      </c>
      <c r="V43" s="21">
        <f t="shared" si="6"/>
        <v>0.35521331126492134</v>
      </c>
      <c r="W43" s="22">
        <f t="shared" si="7"/>
        <v>0</v>
      </c>
    </row>
    <row r="44" spans="1:23" x14ac:dyDescent="0.35">
      <c r="A44" s="11">
        <v>3629</v>
      </c>
      <c r="B44" s="9"/>
      <c r="C44" s="10"/>
      <c r="D44" s="10" t="s">
        <v>45</v>
      </c>
      <c r="E44" s="10" t="s">
        <v>46</v>
      </c>
      <c r="F44" s="11">
        <v>48</v>
      </c>
      <c r="G44" s="12"/>
      <c r="H44" s="12"/>
      <c r="I44" s="12"/>
      <c r="J44" s="12"/>
      <c r="K44" s="12"/>
      <c r="L44" s="12"/>
      <c r="M44" s="12"/>
      <c r="N44" s="24">
        <v>25.04</v>
      </c>
      <c r="O44" s="24"/>
      <c r="P44" s="16">
        <f t="shared" si="3"/>
        <v>1201.92</v>
      </c>
      <c r="Q44" s="17">
        <v>1916.16</v>
      </c>
      <c r="R44" s="18">
        <v>15</v>
      </c>
      <c r="S44" s="19">
        <f t="shared" si="4"/>
        <v>176.09510399999999</v>
      </c>
      <c r="T44" s="26">
        <f t="shared" si="9"/>
        <v>523.14489600000002</v>
      </c>
      <c r="U44" s="19">
        <f t="shared" si="5"/>
        <v>523.14489600000002</v>
      </c>
      <c r="V44" s="21">
        <f t="shared" si="6"/>
        <v>0.43525766773162938</v>
      </c>
      <c r="W44" s="22">
        <f t="shared" si="7"/>
        <v>0</v>
      </c>
    </row>
    <row r="45" spans="1:23" x14ac:dyDescent="0.35">
      <c r="A45" s="11">
        <v>3631</v>
      </c>
      <c r="B45" s="9">
        <v>46253</v>
      </c>
      <c r="C45" s="10" t="s">
        <v>73</v>
      </c>
      <c r="D45" s="10" t="s">
        <v>45</v>
      </c>
      <c r="E45" s="10" t="s">
        <v>50</v>
      </c>
      <c r="F45" s="11">
        <v>30</v>
      </c>
      <c r="G45" s="12"/>
      <c r="H45" s="12"/>
      <c r="I45" s="12"/>
      <c r="J45" s="12"/>
      <c r="K45" s="12"/>
      <c r="L45" s="12"/>
      <c r="M45" s="12"/>
      <c r="N45" s="24">
        <v>2.64</v>
      </c>
      <c r="O45" s="24"/>
      <c r="P45" s="16">
        <f t="shared" si="3"/>
        <v>79.2</v>
      </c>
      <c r="Q45" s="17">
        <v>147.9</v>
      </c>
      <c r="R45" s="18">
        <v>30</v>
      </c>
      <c r="S45" s="19">
        <f t="shared" si="4"/>
        <v>13.59201</v>
      </c>
      <c r="T45" s="26">
        <f t="shared" si="9"/>
        <v>25.107990000000001</v>
      </c>
      <c r="U45" s="19">
        <f t="shared" si="5"/>
        <v>25.107990000000001</v>
      </c>
      <c r="V45" s="21">
        <f t="shared" si="6"/>
        <v>0.31702007575757574</v>
      </c>
      <c r="W45" s="22">
        <f t="shared" si="7"/>
        <v>0</v>
      </c>
    </row>
    <row r="46" spans="1:23" x14ac:dyDescent="0.35">
      <c r="A46" s="11">
        <v>3631</v>
      </c>
      <c r="B46" s="9"/>
      <c r="C46" s="10"/>
      <c r="D46" s="10" t="s">
        <v>45</v>
      </c>
      <c r="E46" s="10" t="s">
        <v>56</v>
      </c>
      <c r="F46" s="11">
        <v>144</v>
      </c>
      <c r="G46" s="12"/>
      <c r="H46" s="12"/>
      <c r="I46" s="12"/>
      <c r="J46" s="12"/>
      <c r="K46" s="12"/>
      <c r="L46" s="12"/>
      <c r="M46" s="12"/>
      <c r="N46" s="24">
        <v>14.3</v>
      </c>
      <c r="O46" s="24"/>
      <c r="P46" s="16">
        <f t="shared" si="3"/>
        <v>2059.2000000000003</v>
      </c>
      <c r="Q46" s="17">
        <v>3227.04</v>
      </c>
      <c r="R46" s="18">
        <v>160</v>
      </c>
      <c r="S46" s="19">
        <f t="shared" si="4"/>
        <v>296.564976</v>
      </c>
      <c r="T46" s="26">
        <f t="shared" si="9"/>
        <v>711.27502399999969</v>
      </c>
      <c r="U46" s="19">
        <f t="shared" si="5"/>
        <v>711.27502399999969</v>
      </c>
      <c r="V46" s="21">
        <f t="shared" si="6"/>
        <v>0.34541327894327872</v>
      </c>
      <c r="W46" s="22">
        <f t="shared" si="7"/>
        <v>0</v>
      </c>
    </row>
    <row r="47" spans="1:23" x14ac:dyDescent="0.35">
      <c r="A47" s="11">
        <v>3633</v>
      </c>
      <c r="B47" s="9">
        <v>46258</v>
      </c>
      <c r="C47" s="10" t="s">
        <v>71</v>
      </c>
      <c r="D47" s="10" t="s">
        <v>45</v>
      </c>
      <c r="E47" s="10" t="s">
        <v>72</v>
      </c>
      <c r="F47" s="11">
        <v>55</v>
      </c>
      <c r="G47" s="12"/>
      <c r="H47" s="12"/>
      <c r="I47" s="12"/>
      <c r="J47" s="12"/>
      <c r="K47" s="12"/>
      <c r="L47" s="12"/>
      <c r="M47" s="12"/>
      <c r="N47" s="24">
        <v>16.3</v>
      </c>
      <c r="O47" s="24"/>
      <c r="P47" s="16">
        <f t="shared" si="3"/>
        <v>896.5</v>
      </c>
      <c r="Q47" s="17">
        <v>1430</v>
      </c>
      <c r="R47" s="18">
        <v>30</v>
      </c>
      <c r="S47" s="19">
        <f t="shared" si="4"/>
        <v>131.417</v>
      </c>
      <c r="T47" s="26">
        <f t="shared" si="9"/>
        <v>372.08299999999997</v>
      </c>
      <c r="U47" s="19">
        <f t="shared" si="5"/>
        <v>372.08299999999997</v>
      </c>
      <c r="V47" s="21">
        <f t="shared" si="6"/>
        <v>0.4150395984383714</v>
      </c>
      <c r="W47" s="22">
        <f t="shared" si="7"/>
        <v>0</v>
      </c>
    </row>
    <row r="48" spans="1:23" x14ac:dyDescent="0.35">
      <c r="A48" s="11">
        <v>3634</v>
      </c>
      <c r="B48" s="9">
        <v>46258</v>
      </c>
      <c r="C48" s="10" t="s">
        <v>74</v>
      </c>
      <c r="D48" s="10" t="s">
        <v>45</v>
      </c>
      <c r="E48" s="10" t="s">
        <v>46</v>
      </c>
      <c r="F48" s="11">
        <v>72</v>
      </c>
      <c r="G48" s="12"/>
      <c r="H48" s="12"/>
      <c r="I48" s="12"/>
      <c r="J48" s="12"/>
      <c r="K48" s="12"/>
      <c r="L48" s="12"/>
      <c r="M48" s="12"/>
      <c r="N48" s="24">
        <v>25.044</v>
      </c>
      <c r="O48" s="24"/>
      <c r="P48" s="16">
        <f t="shared" si="3"/>
        <v>1803.1680000000001</v>
      </c>
      <c r="Q48" s="17">
        <v>2874.24</v>
      </c>
      <c r="R48" s="18">
        <v>50</v>
      </c>
      <c r="S48" s="19">
        <f t="shared" si="4"/>
        <v>264.14265599999999</v>
      </c>
      <c r="T48" s="26">
        <f t="shared" si="9"/>
        <v>756.92934399999967</v>
      </c>
      <c r="U48" s="19">
        <f t="shared" si="5"/>
        <v>756.92934399999967</v>
      </c>
      <c r="V48" s="21">
        <f t="shared" si="6"/>
        <v>0.41977749383307578</v>
      </c>
      <c r="W48" s="22">
        <f t="shared" si="7"/>
        <v>0</v>
      </c>
    </row>
    <row r="49" spans="1:23" x14ac:dyDescent="0.35">
      <c r="A49" s="11">
        <v>3635</v>
      </c>
      <c r="B49" s="9">
        <v>46258</v>
      </c>
      <c r="C49" s="10" t="s">
        <v>75</v>
      </c>
      <c r="D49" s="10" t="s">
        <v>45</v>
      </c>
      <c r="E49" s="10" t="s">
        <v>46</v>
      </c>
      <c r="F49" s="11">
        <v>144</v>
      </c>
      <c r="G49" s="12"/>
      <c r="H49" s="12"/>
      <c r="I49" s="12"/>
      <c r="J49" s="12"/>
      <c r="K49" s="12"/>
      <c r="L49" s="12"/>
      <c r="M49" s="12"/>
      <c r="N49" s="24">
        <v>25.044</v>
      </c>
      <c r="O49" s="24"/>
      <c r="P49" s="16">
        <f t="shared" si="3"/>
        <v>3606.3360000000002</v>
      </c>
      <c r="Q49" s="17">
        <v>5748.48</v>
      </c>
      <c r="R49" s="18">
        <v>55</v>
      </c>
      <c r="S49" s="19">
        <f t="shared" si="4"/>
        <v>528.28531199999998</v>
      </c>
      <c r="T49" s="26">
        <f t="shared" si="9"/>
        <v>1558.8586879999993</v>
      </c>
      <c r="U49" s="19">
        <f t="shared" si="5"/>
        <v>1558.8586879999993</v>
      </c>
      <c r="V49" s="21">
        <f t="shared" si="6"/>
        <v>0.43225553248504833</v>
      </c>
      <c r="W49" s="22">
        <f t="shared" si="7"/>
        <v>0</v>
      </c>
    </row>
    <row r="50" spans="1:23" x14ac:dyDescent="0.35">
      <c r="A50" s="11">
        <v>3635</v>
      </c>
      <c r="B50" s="9"/>
      <c r="C50" s="10"/>
      <c r="D50" s="10" t="s">
        <v>45</v>
      </c>
      <c r="E50" s="10" t="s">
        <v>47</v>
      </c>
      <c r="F50" s="11">
        <v>144</v>
      </c>
      <c r="G50" s="12"/>
      <c r="H50" s="12"/>
      <c r="I50" s="12"/>
      <c r="J50" s="12"/>
      <c r="K50" s="12"/>
      <c r="L50" s="12"/>
      <c r="M50" s="12"/>
      <c r="N50" s="24">
        <v>32</v>
      </c>
      <c r="O50" s="24"/>
      <c r="P50" s="16">
        <f t="shared" si="3"/>
        <v>4608</v>
      </c>
      <c r="Q50" s="17">
        <v>7207.2</v>
      </c>
      <c r="R50" s="18">
        <v>55</v>
      </c>
      <c r="S50" s="19">
        <f t="shared" si="4"/>
        <v>662.34168</v>
      </c>
      <c r="T50" s="26">
        <f t="shared" si="9"/>
        <v>1881.8583199999998</v>
      </c>
      <c r="U50" s="19">
        <f t="shared" si="5"/>
        <v>1881.8583199999998</v>
      </c>
      <c r="V50" s="21">
        <f t="shared" si="6"/>
        <v>0.40838939236111105</v>
      </c>
      <c r="W50" s="22">
        <f t="shared" si="7"/>
        <v>0</v>
      </c>
    </row>
    <row r="51" spans="1:23" x14ac:dyDescent="0.35">
      <c r="A51" s="11">
        <v>3636</v>
      </c>
      <c r="B51" s="9">
        <v>46259</v>
      </c>
      <c r="C51" s="10" t="s">
        <v>76</v>
      </c>
      <c r="D51" s="10" t="s">
        <v>45</v>
      </c>
      <c r="E51" s="10" t="s">
        <v>56</v>
      </c>
      <c r="F51" s="11">
        <v>120</v>
      </c>
      <c r="G51" s="12"/>
      <c r="H51" s="12"/>
      <c r="I51" s="12"/>
      <c r="J51" s="12"/>
      <c r="K51" s="12"/>
      <c r="L51" s="12"/>
      <c r="M51" s="12"/>
      <c r="N51" s="24">
        <v>14.3</v>
      </c>
      <c r="O51" s="24"/>
      <c r="P51" s="16">
        <f t="shared" si="3"/>
        <v>1716</v>
      </c>
      <c r="Q51" s="17">
        <v>2748</v>
      </c>
      <c r="R51" s="18">
        <v>241.13</v>
      </c>
      <c r="S51" s="19">
        <f t="shared" si="4"/>
        <v>252.54119999999998</v>
      </c>
      <c r="T51" s="26">
        <f t="shared" si="9"/>
        <v>538.3288</v>
      </c>
      <c r="U51" s="19">
        <f t="shared" si="5"/>
        <v>538.3288</v>
      </c>
      <c r="V51" s="21">
        <f t="shared" si="6"/>
        <v>0.31371142191142193</v>
      </c>
      <c r="W51" s="22">
        <f t="shared" si="7"/>
        <v>0</v>
      </c>
    </row>
    <row r="52" spans="1:23" x14ac:dyDescent="0.35">
      <c r="A52" s="11">
        <v>3640</v>
      </c>
      <c r="B52" s="9">
        <v>46262</v>
      </c>
      <c r="C52" s="10" t="s">
        <v>77</v>
      </c>
      <c r="D52" s="10" t="s">
        <v>45</v>
      </c>
      <c r="E52" s="10" t="s">
        <v>51</v>
      </c>
      <c r="F52" s="11">
        <v>50</v>
      </c>
      <c r="G52" s="12"/>
      <c r="H52" s="12"/>
      <c r="I52" s="12"/>
      <c r="J52" s="12"/>
      <c r="K52" s="12"/>
      <c r="L52" s="12"/>
      <c r="M52" s="12"/>
      <c r="N52" s="24">
        <v>4.41</v>
      </c>
      <c r="O52" s="24"/>
      <c r="P52" s="16">
        <f t="shared" si="3"/>
        <v>220.5</v>
      </c>
      <c r="Q52" s="17">
        <v>384.5</v>
      </c>
      <c r="R52" s="18">
        <v>20</v>
      </c>
      <c r="S52" s="19">
        <f t="shared" si="4"/>
        <v>35.335549999999998</v>
      </c>
      <c r="T52" s="26">
        <f t="shared" si="9"/>
        <v>108.66445</v>
      </c>
      <c r="U52" s="19">
        <f t="shared" si="5"/>
        <v>108.66445</v>
      </c>
      <c r="V52" s="21">
        <f t="shared" si="6"/>
        <v>0.4928092970521542</v>
      </c>
      <c r="W52" s="22">
        <f t="shared" si="7"/>
        <v>0</v>
      </c>
    </row>
    <row r="53" spans="1:23" x14ac:dyDescent="0.35">
      <c r="A53" s="11">
        <v>3642</v>
      </c>
      <c r="B53" s="9">
        <v>46265</v>
      </c>
      <c r="C53" s="10" t="s">
        <v>78</v>
      </c>
      <c r="D53" s="10" t="s">
        <v>45</v>
      </c>
      <c r="E53" s="10" t="s">
        <v>54</v>
      </c>
      <c r="F53" s="11">
        <v>52</v>
      </c>
      <c r="G53" s="12"/>
      <c r="H53" s="12"/>
      <c r="I53" s="12"/>
      <c r="J53" s="12"/>
      <c r="K53" s="12"/>
      <c r="L53" s="12"/>
      <c r="M53" s="12"/>
      <c r="N53" s="24">
        <v>9.2899999999999991</v>
      </c>
      <c r="O53" s="24"/>
      <c r="P53" s="16">
        <f t="shared" si="3"/>
        <v>483.07999999999993</v>
      </c>
      <c r="Q53" s="17">
        <v>665.08</v>
      </c>
      <c r="R53" s="18">
        <v>70.930000000000007</v>
      </c>
      <c r="S53" s="19">
        <f t="shared" si="4"/>
        <v>61.120851999999999</v>
      </c>
      <c r="T53" s="26">
        <f t="shared" si="9"/>
        <v>49.949148000000108</v>
      </c>
      <c r="U53" s="19">
        <f t="shared" si="5"/>
        <v>49.949148000000108</v>
      </c>
      <c r="V53" s="21">
        <f t="shared" si="6"/>
        <v>0.10339725925312601</v>
      </c>
      <c r="W53" s="22">
        <f t="shared" si="7"/>
        <v>0</v>
      </c>
    </row>
    <row r="54" spans="1:23" x14ac:dyDescent="0.35">
      <c r="A54" s="11">
        <v>3642</v>
      </c>
      <c r="B54" s="9"/>
      <c r="C54" s="10"/>
      <c r="D54" s="10" t="s">
        <v>45</v>
      </c>
      <c r="E54" s="10" t="s">
        <v>55</v>
      </c>
      <c r="F54" s="11">
        <v>6</v>
      </c>
      <c r="G54" s="12"/>
      <c r="H54" s="12"/>
      <c r="I54" s="12"/>
      <c r="J54" s="12"/>
      <c r="K54" s="12"/>
      <c r="L54" s="12"/>
      <c r="M54" s="12"/>
      <c r="N54" s="24">
        <v>15</v>
      </c>
      <c r="O54" s="24"/>
      <c r="P54" s="16">
        <f t="shared" si="3"/>
        <v>90</v>
      </c>
      <c r="Q54" s="17">
        <v>143.58000000000001</v>
      </c>
      <c r="R54" s="18">
        <v>0</v>
      </c>
      <c r="S54" s="19">
        <f t="shared" si="4"/>
        <v>13.195002000000001</v>
      </c>
      <c r="T54" s="26">
        <f t="shared" si="9"/>
        <v>40.38499800000001</v>
      </c>
      <c r="U54" s="19">
        <f t="shared" si="5"/>
        <v>40.38499800000001</v>
      </c>
      <c r="V54" s="21">
        <f t="shared" si="6"/>
        <v>0.44872220000000013</v>
      </c>
      <c r="W54" s="22">
        <f t="shared" si="7"/>
        <v>0</v>
      </c>
    </row>
    <row r="55" spans="1:23" x14ac:dyDescent="0.35">
      <c r="A55" s="11">
        <v>1166</v>
      </c>
      <c r="B55" s="9">
        <v>46237</v>
      </c>
      <c r="C55" s="10" t="s">
        <v>79</v>
      </c>
      <c r="D55" s="10" t="s">
        <v>45</v>
      </c>
      <c r="E55" s="10" t="s">
        <v>58</v>
      </c>
      <c r="F55" s="11">
        <v>15</v>
      </c>
      <c r="G55" s="12"/>
      <c r="H55" s="12"/>
      <c r="I55" s="12"/>
      <c r="J55" s="12"/>
      <c r="K55" s="12"/>
      <c r="L55" s="12"/>
      <c r="M55" s="12"/>
      <c r="N55" s="24">
        <v>21.96</v>
      </c>
      <c r="O55" s="24"/>
      <c r="P55" s="16">
        <f t="shared" si="3"/>
        <v>329.40000000000003</v>
      </c>
      <c r="Q55" s="17">
        <v>504.3</v>
      </c>
      <c r="R55" s="18">
        <v>25</v>
      </c>
      <c r="S55" s="19">
        <f t="shared" si="4"/>
        <v>46.345169999999996</v>
      </c>
      <c r="T55" s="26">
        <f t="shared" si="9"/>
        <v>103.55482999999998</v>
      </c>
      <c r="U55" s="19">
        <f t="shared" si="5"/>
        <v>103.55482999999998</v>
      </c>
      <c r="V55" s="21">
        <f t="shared" si="6"/>
        <v>0.31437410443230107</v>
      </c>
      <c r="W55" s="22">
        <f t="shared" si="7"/>
        <v>0</v>
      </c>
    </row>
    <row r="56" spans="1:23" x14ac:dyDescent="0.35">
      <c r="A56" s="11">
        <v>1166</v>
      </c>
      <c r="B56" s="9"/>
      <c r="C56" s="10"/>
      <c r="D56" s="10" t="s">
        <v>45</v>
      </c>
      <c r="E56" s="10" t="s">
        <v>50</v>
      </c>
      <c r="F56" s="11">
        <v>100</v>
      </c>
      <c r="G56" s="12"/>
      <c r="H56" s="12"/>
      <c r="I56" s="12"/>
      <c r="J56" s="12"/>
      <c r="K56" s="12"/>
      <c r="L56" s="12"/>
      <c r="M56" s="12"/>
      <c r="N56" s="24">
        <v>2.66</v>
      </c>
      <c r="O56" s="24"/>
      <c r="P56" s="28">
        <f t="shared" si="3"/>
        <v>266</v>
      </c>
      <c r="Q56" s="29">
        <v>350</v>
      </c>
      <c r="R56" s="18">
        <v>0</v>
      </c>
      <c r="S56" s="19">
        <f t="shared" si="4"/>
        <v>32.164999999999999</v>
      </c>
      <c r="T56" s="26">
        <f t="shared" si="9"/>
        <v>51.835000000000001</v>
      </c>
      <c r="U56" s="19">
        <f t="shared" si="5"/>
        <v>51.835000000000001</v>
      </c>
      <c r="V56" s="21">
        <f t="shared" si="6"/>
        <v>0.19486842105263158</v>
      </c>
      <c r="W56" s="22">
        <f t="shared" si="7"/>
        <v>0</v>
      </c>
    </row>
    <row r="57" spans="1:23" x14ac:dyDescent="0.35">
      <c r="A57" s="11">
        <v>1166</v>
      </c>
      <c r="B57" s="9"/>
      <c r="C57" s="10"/>
      <c r="D57" s="10" t="s">
        <v>45</v>
      </c>
      <c r="E57" s="10" t="s">
        <v>80</v>
      </c>
      <c r="F57" s="11">
        <v>30</v>
      </c>
      <c r="G57" s="12"/>
      <c r="H57" s="12"/>
      <c r="I57" s="12"/>
      <c r="J57" s="12"/>
      <c r="K57" s="12"/>
      <c r="L57" s="12"/>
      <c r="M57" s="12"/>
      <c r="N57" s="24">
        <v>54</v>
      </c>
      <c r="O57" s="24"/>
      <c r="P57" s="16">
        <f t="shared" si="3"/>
        <v>1620</v>
      </c>
      <c r="Q57" s="17">
        <v>2279.6999999999998</v>
      </c>
      <c r="R57" s="18">
        <v>20</v>
      </c>
      <c r="S57" s="19">
        <f t="shared" si="4"/>
        <v>209.50442999999999</v>
      </c>
      <c r="T57" s="26">
        <f t="shared" si="9"/>
        <v>430.19556999999986</v>
      </c>
      <c r="U57" s="19">
        <f t="shared" si="5"/>
        <v>430.19556999999986</v>
      </c>
      <c r="V57" s="21">
        <f t="shared" si="6"/>
        <v>0.26555282098765426</v>
      </c>
      <c r="W57" s="22">
        <f t="shared" si="7"/>
        <v>0</v>
      </c>
    </row>
    <row r="58" spans="1:23" x14ac:dyDescent="0.35">
      <c r="A58" s="11">
        <v>1171</v>
      </c>
      <c r="B58" s="9">
        <v>46241</v>
      </c>
      <c r="C58" s="10" t="s">
        <v>81</v>
      </c>
      <c r="D58" s="10" t="s">
        <v>45</v>
      </c>
      <c r="E58" s="10" t="s">
        <v>56</v>
      </c>
      <c r="F58" s="11">
        <v>120</v>
      </c>
      <c r="G58" s="12"/>
      <c r="H58" s="12"/>
      <c r="I58" s="12"/>
      <c r="J58" s="12"/>
      <c r="K58" s="12"/>
      <c r="L58" s="12"/>
      <c r="M58" s="12"/>
      <c r="N58" s="24">
        <v>14.3</v>
      </c>
      <c r="O58" s="24"/>
      <c r="P58" s="16">
        <f t="shared" si="3"/>
        <v>1716</v>
      </c>
      <c r="Q58" s="17">
        <v>2676</v>
      </c>
      <c r="R58" s="18">
        <v>120</v>
      </c>
      <c r="S58" s="19">
        <f t="shared" si="4"/>
        <v>245.92439999999999</v>
      </c>
      <c r="T58" s="26">
        <f t="shared" si="9"/>
        <v>594.07560000000001</v>
      </c>
      <c r="U58" s="19">
        <f t="shared" si="5"/>
        <v>594.07560000000001</v>
      </c>
      <c r="V58" s="21">
        <f t="shared" si="6"/>
        <v>0.34619790209790208</v>
      </c>
      <c r="W58" s="22">
        <f t="shared" si="7"/>
        <v>0</v>
      </c>
    </row>
    <row r="59" spans="1:23" x14ac:dyDescent="0.35">
      <c r="A59" s="11">
        <v>1173</v>
      </c>
      <c r="B59" s="9">
        <v>46244</v>
      </c>
      <c r="C59" s="10" t="s">
        <v>82</v>
      </c>
      <c r="D59" s="10" t="s">
        <v>45</v>
      </c>
      <c r="E59" s="10" t="s">
        <v>83</v>
      </c>
      <c r="F59" s="11">
        <v>150</v>
      </c>
      <c r="G59" s="12"/>
      <c r="H59" s="12"/>
      <c r="I59" s="12"/>
      <c r="J59" s="12"/>
      <c r="K59" s="12"/>
      <c r="L59" s="12"/>
      <c r="M59" s="12"/>
      <c r="N59" s="24">
        <v>2.88</v>
      </c>
      <c r="O59" s="24"/>
      <c r="P59" s="16">
        <f t="shared" si="3"/>
        <v>432</v>
      </c>
      <c r="Q59" s="17">
        <v>813</v>
      </c>
      <c r="R59" s="18">
        <v>90</v>
      </c>
      <c r="S59" s="19">
        <f t="shared" si="4"/>
        <v>74.714699999999993</v>
      </c>
      <c r="T59" s="26">
        <f t="shared" si="9"/>
        <v>216.28530000000001</v>
      </c>
      <c r="U59" s="19">
        <f t="shared" si="5"/>
        <v>216.28530000000001</v>
      </c>
      <c r="V59" s="21">
        <f t="shared" si="6"/>
        <v>0.50066041666666672</v>
      </c>
      <c r="W59" s="22">
        <f t="shared" si="7"/>
        <v>0</v>
      </c>
    </row>
    <row r="60" spans="1:23" x14ac:dyDescent="0.35">
      <c r="A60" s="11">
        <v>1175</v>
      </c>
      <c r="B60" s="9">
        <v>46247</v>
      </c>
      <c r="C60" s="10" t="s">
        <v>84</v>
      </c>
      <c r="D60" s="10" t="s">
        <v>45</v>
      </c>
      <c r="E60" s="10" t="s">
        <v>83</v>
      </c>
      <c r="F60" s="11">
        <v>3000</v>
      </c>
      <c r="G60" s="12"/>
      <c r="H60" s="12"/>
      <c r="I60" s="12"/>
      <c r="J60" s="12"/>
      <c r="K60" s="12"/>
      <c r="L60" s="12"/>
      <c r="M60" s="12"/>
      <c r="N60" s="24">
        <v>2.8</v>
      </c>
      <c r="O60" s="24"/>
      <c r="P60" s="16">
        <f t="shared" si="3"/>
        <v>8400</v>
      </c>
      <c r="Q60" s="17">
        <v>12690</v>
      </c>
      <c r="R60" s="18">
        <v>150</v>
      </c>
      <c r="S60" s="19">
        <f t="shared" si="4"/>
        <v>1166.211</v>
      </c>
      <c r="T60" s="26">
        <f t="shared" si="9"/>
        <v>2973.7889999999998</v>
      </c>
      <c r="U60" s="19">
        <f t="shared" si="5"/>
        <v>2973.7889999999998</v>
      </c>
      <c r="V60" s="21">
        <f t="shared" si="6"/>
        <v>0.35402249999999996</v>
      </c>
      <c r="W60" s="22">
        <f t="shared" si="7"/>
        <v>0</v>
      </c>
    </row>
    <row r="61" spans="1:23" x14ac:dyDescent="0.35">
      <c r="A61" s="11">
        <v>1176</v>
      </c>
      <c r="B61" s="9"/>
      <c r="C61" s="10"/>
      <c r="D61" s="10" t="s">
        <v>45</v>
      </c>
      <c r="E61" s="10" t="s">
        <v>47</v>
      </c>
      <c r="F61" s="11">
        <v>48</v>
      </c>
      <c r="G61" s="12"/>
      <c r="H61" s="12"/>
      <c r="I61" s="12"/>
      <c r="J61" s="12"/>
      <c r="K61" s="12"/>
      <c r="L61" s="12"/>
      <c r="M61" s="12"/>
      <c r="N61" s="24">
        <v>33.229999999999997</v>
      </c>
      <c r="O61" s="24"/>
      <c r="P61" s="16">
        <f t="shared" si="3"/>
        <v>1595.04</v>
      </c>
      <c r="Q61" s="17">
        <v>2592</v>
      </c>
      <c r="R61" s="18">
        <v>118</v>
      </c>
      <c r="S61" s="19">
        <f t="shared" si="4"/>
        <v>238.20479999999998</v>
      </c>
      <c r="T61" s="26">
        <f t="shared" si="9"/>
        <v>640.75520000000006</v>
      </c>
      <c r="U61" s="19">
        <f t="shared" si="5"/>
        <v>640.75520000000006</v>
      </c>
      <c r="V61" s="21">
        <f t="shared" si="6"/>
        <v>0.40171732370348084</v>
      </c>
      <c r="W61" s="22">
        <f t="shared" si="7"/>
        <v>0</v>
      </c>
    </row>
    <row r="62" spans="1:23" x14ac:dyDescent="0.35">
      <c r="A62" s="11">
        <v>1177</v>
      </c>
      <c r="B62" s="9">
        <v>46247</v>
      </c>
      <c r="C62" s="10" t="s">
        <v>85</v>
      </c>
      <c r="D62" s="10" t="s">
        <v>45</v>
      </c>
      <c r="E62" s="10" t="s">
        <v>47</v>
      </c>
      <c r="F62" s="11">
        <v>30</v>
      </c>
      <c r="G62" s="12"/>
      <c r="H62" s="12"/>
      <c r="I62" s="12"/>
      <c r="J62" s="12"/>
      <c r="K62" s="12"/>
      <c r="L62" s="12"/>
      <c r="M62" s="12"/>
      <c r="N62" s="24">
        <v>33.229999999999997</v>
      </c>
      <c r="O62" s="24"/>
      <c r="P62" s="16">
        <f t="shared" si="3"/>
        <v>996.89999999999986</v>
      </c>
      <c r="Q62" s="17">
        <v>1513.2</v>
      </c>
      <c r="R62" s="18">
        <v>95.18</v>
      </c>
      <c r="S62" s="19">
        <f t="shared" si="4"/>
        <v>139.06307999999999</v>
      </c>
      <c r="T62" s="26">
        <f t="shared" si="9"/>
        <v>282.05692000000022</v>
      </c>
      <c r="U62" s="19">
        <f t="shared" si="5"/>
        <v>282.05692000000022</v>
      </c>
      <c r="V62" s="21">
        <f t="shared" si="6"/>
        <v>0.28293401544788871</v>
      </c>
      <c r="W62" s="22">
        <f t="shared" si="7"/>
        <v>0</v>
      </c>
    </row>
    <row r="63" spans="1:23" x14ac:dyDescent="0.35">
      <c r="A63" s="11">
        <v>1178</v>
      </c>
      <c r="B63" s="9">
        <v>46247</v>
      </c>
      <c r="C63" s="10" t="s">
        <v>79</v>
      </c>
      <c r="D63" s="10" t="s">
        <v>45</v>
      </c>
      <c r="E63" s="10" t="s">
        <v>58</v>
      </c>
      <c r="F63" s="11">
        <v>60</v>
      </c>
      <c r="G63" s="12"/>
      <c r="H63" s="12"/>
      <c r="I63" s="12"/>
      <c r="J63" s="12"/>
      <c r="K63" s="12"/>
      <c r="L63" s="12"/>
      <c r="M63" s="12"/>
      <c r="N63" s="24">
        <v>21.96</v>
      </c>
      <c r="O63" s="24"/>
      <c r="P63" s="16">
        <f t="shared" si="3"/>
        <v>1317.6000000000001</v>
      </c>
      <c r="Q63" s="17">
        <v>2017.2</v>
      </c>
      <c r="R63" s="18">
        <v>20</v>
      </c>
      <c r="S63" s="19">
        <f t="shared" si="4"/>
        <v>185.38067999999998</v>
      </c>
      <c r="T63" s="26">
        <f t="shared" si="9"/>
        <v>494.21931999999993</v>
      </c>
      <c r="U63" s="19">
        <f t="shared" si="5"/>
        <v>494.21931999999993</v>
      </c>
      <c r="V63" s="21">
        <f t="shared" si="6"/>
        <v>0.37509055859137819</v>
      </c>
      <c r="W63" s="22">
        <f t="shared" si="7"/>
        <v>0</v>
      </c>
    </row>
    <row r="64" spans="1:23" x14ac:dyDescent="0.35">
      <c r="A64" s="11">
        <v>1178</v>
      </c>
      <c r="B64" s="9"/>
      <c r="C64" s="10"/>
      <c r="D64" s="10" t="s">
        <v>45</v>
      </c>
      <c r="E64" s="10" t="s">
        <v>56</v>
      </c>
      <c r="F64" s="11">
        <v>100</v>
      </c>
      <c r="G64" s="12"/>
      <c r="H64" s="12"/>
      <c r="I64" s="12"/>
      <c r="J64" s="12"/>
      <c r="K64" s="12"/>
      <c r="L64" s="12"/>
      <c r="M64" s="12"/>
      <c r="N64" s="24">
        <v>14.3</v>
      </c>
      <c r="O64" s="24"/>
      <c r="P64" s="16">
        <f t="shared" si="3"/>
        <v>1430</v>
      </c>
      <c r="Q64" s="17">
        <v>2079</v>
      </c>
      <c r="R64" s="18">
        <v>20</v>
      </c>
      <c r="S64" s="19">
        <f t="shared" si="4"/>
        <v>191.06009999999998</v>
      </c>
      <c r="T64" s="26">
        <f t="shared" si="9"/>
        <v>437.93990000000002</v>
      </c>
      <c r="U64" s="19">
        <f t="shared" si="5"/>
        <v>437.93990000000002</v>
      </c>
      <c r="V64" s="21">
        <f t="shared" si="6"/>
        <v>0.30625167832167832</v>
      </c>
      <c r="W64" s="22">
        <f t="shared" si="7"/>
        <v>0</v>
      </c>
    </row>
    <row r="65" spans="1:23" x14ac:dyDescent="0.35">
      <c r="A65" s="11">
        <v>1178</v>
      </c>
      <c r="B65" s="9"/>
      <c r="C65" s="10"/>
      <c r="D65" s="10" t="s">
        <v>45</v>
      </c>
      <c r="E65" s="10" t="s">
        <v>80</v>
      </c>
      <c r="F65" s="11">
        <v>30</v>
      </c>
      <c r="G65" s="12"/>
      <c r="H65" s="12"/>
      <c r="I65" s="12"/>
      <c r="J65" s="12"/>
      <c r="K65" s="12"/>
      <c r="L65" s="12"/>
      <c r="M65" s="12"/>
      <c r="N65" s="24">
        <v>54</v>
      </c>
      <c r="O65" s="24"/>
      <c r="P65" s="16">
        <f t="shared" si="3"/>
        <v>1620</v>
      </c>
      <c r="Q65" s="17">
        <v>2279.6999999999998</v>
      </c>
      <c r="R65" s="18">
        <v>20</v>
      </c>
      <c r="S65" s="19">
        <f t="shared" si="4"/>
        <v>209.50442999999999</v>
      </c>
      <c r="T65" s="26">
        <f t="shared" si="9"/>
        <v>430.19556999999986</v>
      </c>
      <c r="U65" s="19">
        <f t="shared" si="5"/>
        <v>430.19556999999986</v>
      </c>
      <c r="V65" s="21">
        <f t="shared" si="6"/>
        <v>0.26555282098765426</v>
      </c>
      <c r="W65" s="22">
        <f t="shared" si="7"/>
        <v>0</v>
      </c>
    </row>
    <row r="66" spans="1:23" x14ac:dyDescent="0.35">
      <c r="A66" s="11">
        <v>1178</v>
      </c>
      <c r="B66" s="9"/>
      <c r="C66" s="10"/>
      <c r="D66" s="10" t="s">
        <v>45</v>
      </c>
      <c r="E66" s="10" t="s">
        <v>50</v>
      </c>
      <c r="F66" s="11">
        <v>150</v>
      </c>
      <c r="G66" s="12"/>
      <c r="H66" s="12"/>
      <c r="I66" s="12"/>
      <c r="J66" s="12"/>
      <c r="K66" s="12"/>
      <c r="L66" s="12"/>
      <c r="M66" s="12"/>
      <c r="N66" s="24">
        <v>2.64</v>
      </c>
      <c r="O66" s="24"/>
      <c r="P66" s="16">
        <f t="shared" ref="P66:P129" si="10">F66*N66</f>
        <v>396</v>
      </c>
      <c r="Q66" s="17">
        <v>525</v>
      </c>
      <c r="R66" s="18">
        <v>0</v>
      </c>
      <c r="S66" s="19">
        <f t="shared" ref="S66:S101" si="11">Q66*0.0919</f>
        <v>48.247499999999995</v>
      </c>
      <c r="T66" s="26">
        <f t="shared" si="9"/>
        <v>80.752499999999998</v>
      </c>
      <c r="U66" s="19">
        <f t="shared" ref="U66:U129" si="12">Q66-P66-R66-S66</f>
        <v>80.752499999999998</v>
      </c>
      <c r="V66" s="21">
        <f t="shared" ref="V66:V129" si="13">U66/P66</f>
        <v>0.20392045454545454</v>
      </c>
      <c r="W66" s="22">
        <f t="shared" ref="W66:W129" si="14">T66-U66</f>
        <v>0</v>
      </c>
    </row>
    <row r="67" spans="1:23" x14ac:dyDescent="0.35">
      <c r="A67" s="11">
        <v>1178</v>
      </c>
      <c r="B67" s="9"/>
      <c r="C67" s="25"/>
      <c r="D67" s="10" t="s">
        <v>45</v>
      </c>
      <c r="E67" s="10" t="s">
        <v>47</v>
      </c>
      <c r="F67" s="11">
        <v>25</v>
      </c>
      <c r="G67" s="12"/>
      <c r="H67" s="12"/>
      <c r="I67" s="12"/>
      <c r="J67" s="12"/>
      <c r="K67" s="12"/>
      <c r="L67" s="12"/>
      <c r="M67" s="12"/>
      <c r="N67" s="24">
        <v>33.229999999999997</v>
      </c>
      <c r="O67" s="24"/>
      <c r="P67" s="16">
        <f t="shared" si="10"/>
        <v>830.74999999999989</v>
      </c>
      <c r="Q67" s="17">
        <v>1162.5</v>
      </c>
      <c r="R67" s="18">
        <v>20</v>
      </c>
      <c r="S67" s="19">
        <f t="shared" si="11"/>
        <v>106.83374999999999</v>
      </c>
      <c r="T67" s="26">
        <f t="shared" si="9"/>
        <v>204.9162500000001</v>
      </c>
      <c r="U67" s="19">
        <f t="shared" si="12"/>
        <v>204.9162500000001</v>
      </c>
      <c r="V67" s="21">
        <f t="shared" si="13"/>
        <v>0.24666415889256713</v>
      </c>
      <c r="W67" s="22">
        <f t="shared" si="14"/>
        <v>0</v>
      </c>
    </row>
    <row r="68" spans="1:23" x14ac:dyDescent="0.35">
      <c r="A68" s="11">
        <v>1178</v>
      </c>
      <c r="B68" s="9"/>
      <c r="C68" s="10"/>
      <c r="D68" s="10" t="s">
        <v>45</v>
      </c>
      <c r="E68" s="10" t="s">
        <v>86</v>
      </c>
      <c r="F68" s="11">
        <v>41</v>
      </c>
      <c r="G68" s="12"/>
      <c r="H68" s="12"/>
      <c r="I68" s="12"/>
      <c r="J68" s="12"/>
      <c r="K68" s="12"/>
      <c r="L68" s="12"/>
      <c r="M68" s="12"/>
      <c r="N68" s="24">
        <v>12.36</v>
      </c>
      <c r="O68" s="24"/>
      <c r="P68" s="16">
        <f t="shared" si="10"/>
        <v>506.76</v>
      </c>
      <c r="Q68" s="17">
        <v>766.7</v>
      </c>
      <c r="R68" s="18">
        <v>20</v>
      </c>
      <c r="S68" s="19">
        <f t="shared" si="11"/>
        <v>70.459730000000008</v>
      </c>
      <c r="T68" s="26">
        <f t="shared" si="9"/>
        <v>169.48027000000005</v>
      </c>
      <c r="U68" s="19">
        <f t="shared" si="12"/>
        <v>169.48027000000005</v>
      </c>
      <c r="V68" s="21">
        <f t="shared" si="13"/>
        <v>0.3344389257242088</v>
      </c>
      <c r="W68" s="22">
        <f t="shared" si="14"/>
        <v>0</v>
      </c>
    </row>
    <row r="69" spans="1:23" x14ac:dyDescent="0.35">
      <c r="A69" s="11">
        <v>1179</v>
      </c>
      <c r="B69" s="9"/>
      <c r="C69" s="10"/>
      <c r="D69" s="10" t="s">
        <v>45</v>
      </c>
      <c r="E69" s="10" t="s">
        <v>50</v>
      </c>
      <c r="F69" s="11">
        <v>96</v>
      </c>
      <c r="G69" s="12"/>
      <c r="H69" s="12"/>
      <c r="I69" s="12"/>
      <c r="J69" s="12"/>
      <c r="K69" s="12"/>
      <c r="L69" s="12"/>
      <c r="M69" s="12"/>
      <c r="N69" s="24">
        <v>2.64</v>
      </c>
      <c r="O69" s="24"/>
      <c r="P69" s="16">
        <f t="shared" si="10"/>
        <v>253.44</v>
      </c>
      <c r="Q69" s="17">
        <v>579.84</v>
      </c>
      <c r="R69" s="18">
        <v>80</v>
      </c>
      <c r="S69" s="19">
        <f t="shared" si="11"/>
        <v>53.287295999999998</v>
      </c>
      <c r="T69" s="26">
        <f t="shared" si="9"/>
        <v>193.11270400000004</v>
      </c>
      <c r="U69" s="19">
        <f t="shared" si="12"/>
        <v>193.11270400000004</v>
      </c>
      <c r="V69" s="21">
        <f t="shared" si="13"/>
        <v>0.76196616161616182</v>
      </c>
      <c r="W69" s="22">
        <f t="shared" si="14"/>
        <v>0</v>
      </c>
    </row>
    <row r="70" spans="1:23" x14ac:dyDescent="0.35">
      <c r="A70" s="11">
        <v>1180</v>
      </c>
      <c r="B70" s="9">
        <v>46247</v>
      </c>
      <c r="C70" s="10" t="s">
        <v>87</v>
      </c>
      <c r="D70" s="10" t="s">
        <v>45</v>
      </c>
      <c r="E70" s="10" t="s">
        <v>47</v>
      </c>
      <c r="F70" s="11">
        <v>576</v>
      </c>
      <c r="G70" s="12"/>
      <c r="H70" s="12"/>
      <c r="I70" s="12"/>
      <c r="J70" s="12"/>
      <c r="K70" s="12"/>
      <c r="L70" s="12"/>
      <c r="M70" s="12"/>
      <c r="N70" s="24">
        <v>33.6</v>
      </c>
      <c r="O70" s="24"/>
      <c r="P70" s="16">
        <f t="shared" si="10"/>
        <v>19353.6</v>
      </c>
      <c r="Q70" s="29">
        <v>29278.080000000002</v>
      </c>
      <c r="R70" s="18">
        <v>605</v>
      </c>
      <c r="S70" s="19">
        <f>Q70*0.09</f>
        <v>2635.0272</v>
      </c>
      <c r="T70" s="26">
        <f t="shared" si="9"/>
        <v>6684.4528</v>
      </c>
      <c r="U70" s="19">
        <f t="shared" si="12"/>
        <v>6684.4528</v>
      </c>
      <c r="V70" s="21">
        <f t="shared" si="13"/>
        <v>0.345385</v>
      </c>
      <c r="W70" s="22">
        <f t="shared" si="14"/>
        <v>0</v>
      </c>
    </row>
    <row r="71" spans="1:23" x14ac:dyDescent="0.35">
      <c r="A71" s="11">
        <v>1182</v>
      </c>
      <c r="B71" s="9">
        <v>46248</v>
      </c>
      <c r="C71" s="32" t="s">
        <v>88</v>
      </c>
      <c r="D71" s="10" t="s">
        <v>45</v>
      </c>
      <c r="E71" s="33">
        <v>10020006</v>
      </c>
      <c r="F71" s="11">
        <v>147</v>
      </c>
      <c r="G71" s="12"/>
      <c r="H71" s="12"/>
      <c r="I71" s="12"/>
      <c r="J71" s="12"/>
      <c r="K71" s="12"/>
      <c r="L71" s="12"/>
      <c r="M71" s="12"/>
      <c r="N71" s="25">
        <v>2.81</v>
      </c>
      <c r="O71" s="25"/>
      <c r="P71" s="16">
        <f t="shared" si="10"/>
        <v>413.07</v>
      </c>
      <c r="Q71" s="29">
        <v>712.95</v>
      </c>
      <c r="R71" s="18">
        <v>120.8</v>
      </c>
      <c r="S71" s="19">
        <f>Q71*0.09</f>
        <v>64.165500000000009</v>
      </c>
      <c r="T71" s="26">
        <f t="shared" si="9"/>
        <v>114.91450000000003</v>
      </c>
      <c r="U71" s="19">
        <f t="shared" si="12"/>
        <v>114.91450000000003</v>
      </c>
      <c r="V71" s="21">
        <f t="shared" si="13"/>
        <v>0.2781961895078317</v>
      </c>
      <c r="W71" s="22">
        <f t="shared" si="14"/>
        <v>0</v>
      </c>
    </row>
    <row r="72" spans="1:23" x14ac:dyDescent="0.35">
      <c r="A72" s="11">
        <v>1182</v>
      </c>
      <c r="B72" s="9"/>
      <c r="C72" s="32"/>
      <c r="D72" s="10" t="s">
        <v>45</v>
      </c>
      <c r="E72" s="33" t="s">
        <v>89</v>
      </c>
      <c r="F72" s="11">
        <v>20</v>
      </c>
      <c r="G72" s="12"/>
      <c r="H72" s="12"/>
      <c r="I72" s="12"/>
      <c r="J72" s="12"/>
      <c r="K72" s="12"/>
      <c r="L72" s="12"/>
      <c r="M72" s="12"/>
      <c r="N72" s="25">
        <v>6.8</v>
      </c>
      <c r="O72" s="25"/>
      <c r="P72" s="16">
        <f t="shared" si="10"/>
        <v>136</v>
      </c>
      <c r="Q72" s="29">
        <v>215</v>
      </c>
      <c r="R72" s="18">
        <v>0</v>
      </c>
      <c r="S72" s="19">
        <f>Q72*0.09</f>
        <v>19.349999999999998</v>
      </c>
      <c r="T72" s="26">
        <f t="shared" si="9"/>
        <v>59.650000000000006</v>
      </c>
      <c r="U72" s="19">
        <f t="shared" si="12"/>
        <v>59.650000000000006</v>
      </c>
      <c r="V72" s="21">
        <f t="shared" si="13"/>
        <v>0.43860294117647064</v>
      </c>
      <c r="W72" s="22">
        <f t="shared" si="14"/>
        <v>0</v>
      </c>
    </row>
    <row r="73" spans="1:23" x14ac:dyDescent="0.35">
      <c r="A73" s="11">
        <v>1183</v>
      </c>
      <c r="B73" s="9">
        <v>46248</v>
      </c>
      <c r="C73" s="10" t="s">
        <v>90</v>
      </c>
      <c r="D73" s="10" t="s">
        <v>45</v>
      </c>
      <c r="E73" s="33" t="s">
        <v>56</v>
      </c>
      <c r="F73" s="11">
        <v>72</v>
      </c>
      <c r="G73" s="12"/>
      <c r="H73" s="12"/>
      <c r="I73" s="12"/>
      <c r="J73" s="12"/>
      <c r="K73" s="12"/>
      <c r="L73" s="12"/>
      <c r="M73" s="12"/>
      <c r="N73" s="24">
        <v>14.3</v>
      </c>
      <c r="O73" s="24"/>
      <c r="P73" s="16">
        <f t="shared" si="10"/>
        <v>1029.6000000000001</v>
      </c>
      <c r="Q73" s="17">
        <v>1767.6</v>
      </c>
      <c r="R73" s="18">
        <v>119.28</v>
      </c>
      <c r="S73" s="19">
        <f t="shared" ref="S73:S93" si="15">Q73*0.0919</f>
        <v>162.44243999999998</v>
      </c>
      <c r="T73" s="26">
        <f t="shared" si="9"/>
        <v>456.27755999999982</v>
      </c>
      <c r="U73" s="19">
        <f t="shared" si="12"/>
        <v>456.27755999999982</v>
      </c>
      <c r="V73" s="21">
        <f t="shared" si="13"/>
        <v>0.44316002331002308</v>
      </c>
      <c r="W73" s="22">
        <f t="shared" si="14"/>
        <v>0</v>
      </c>
    </row>
    <row r="74" spans="1:23" x14ac:dyDescent="0.35">
      <c r="A74" s="11">
        <v>1185</v>
      </c>
      <c r="B74" s="9">
        <v>46251</v>
      </c>
      <c r="C74" s="10" t="s">
        <v>91</v>
      </c>
      <c r="D74" s="10" t="s">
        <v>92</v>
      </c>
      <c r="E74" s="10" t="s">
        <v>93</v>
      </c>
      <c r="F74" s="11">
        <v>3</v>
      </c>
      <c r="G74" s="12"/>
      <c r="H74" s="12"/>
      <c r="I74" s="12"/>
      <c r="J74" s="12"/>
      <c r="K74" s="12"/>
      <c r="L74" s="12"/>
      <c r="M74" s="12"/>
      <c r="N74" s="24">
        <v>248</v>
      </c>
      <c r="O74" s="24"/>
      <c r="P74" s="16">
        <f t="shared" si="10"/>
        <v>744</v>
      </c>
      <c r="Q74" s="17">
        <v>1359.57</v>
      </c>
      <c r="R74" s="18">
        <v>0</v>
      </c>
      <c r="S74" s="19">
        <f t="shared" si="15"/>
        <v>124.94448299999999</v>
      </c>
      <c r="T74" s="26">
        <f t="shared" si="9"/>
        <v>490.62551699999995</v>
      </c>
      <c r="U74" s="19">
        <f t="shared" si="12"/>
        <v>490.62551699999995</v>
      </c>
      <c r="V74" s="21">
        <f t="shared" si="13"/>
        <v>0.65944289919354826</v>
      </c>
      <c r="W74" s="22">
        <f t="shared" si="14"/>
        <v>0</v>
      </c>
    </row>
    <row r="75" spans="1:23" x14ac:dyDescent="0.35">
      <c r="A75" s="11">
        <v>1185</v>
      </c>
      <c r="B75" s="9"/>
      <c r="C75" s="10"/>
      <c r="D75" s="10" t="s">
        <v>94</v>
      </c>
      <c r="E75" s="10" t="s">
        <v>95</v>
      </c>
      <c r="F75" s="11">
        <v>950</v>
      </c>
      <c r="G75" s="12"/>
      <c r="H75" s="12"/>
      <c r="I75" s="12"/>
      <c r="J75" s="12"/>
      <c r="K75" s="12"/>
      <c r="L75" s="12"/>
      <c r="M75" s="12"/>
      <c r="N75" s="24">
        <v>0.54400000000000004</v>
      </c>
      <c r="O75" s="24"/>
      <c r="P75" s="16">
        <f t="shared" si="10"/>
        <v>516.80000000000007</v>
      </c>
      <c r="Q75" s="17">
        <v>684</v>
      </c>
      <c r="R75" s="18">
        <v>30</v>
      </c>
      <c r="S75" s="19">
        <f t="shared" si="15"/>
        <v>62.8596</v>
      </c>
      <c r="T75" s="26">
        <f t="shared" si="9"/>
        <v>74.340399999999931</v>
      </c>
      <c r="U75" s="19">
        <f t="shared" si="12"/>
        <v>74.340399999999931</v>
      </c>
      <c r="V75" s="21">
        <f t="shared" si="13"/>
        <v>0.14384752321981409</v>
      </c>
      <c r="W75" s="22">
        <f t="shared" si="14"/>
        <v>0</v>
      </c>
    </row>
    <row r="76" spans="1:23" x14ac:dyDescent="0.35">
      <c r="A76" s="11">
        <v>1187</v>
      </c>
      <c r="B76" s="9">
        <v>46252</v>
      </c>
      <c r="C76" s="10" t="s">
        <v>96</v>
      </c>
      <c r="D76" s="10" t="s">
        <v>45</v>
      </c>
      <c r="E76" s="33" t="s">
        <v>56</v>
      </c>
      <c r="F76" s="11">
        <v>60</v>
      </c>
      <c r="G76" s="12"/>
      <c r="H76" s="12"/>
      <c r="I76" s="12"/>
      <c r="J76" s="12"/>
      <c r="K76" s="12"/>
      <c r="L76" s="12"/>
      <c r="M76" s="12"/>
      <c r="N76" s="24">
        <v>14.3</v>
      </c>
      <c r="O76" s="24"/>
      <c r="P76" s="16">
        <f t="shared" si="10"/>
        <v>858</v>
      </c>
      <c r="Q76" s="17">
        <v>1426.2</v>
      </c>
      <c r="R76" s="18">
        <v>122.18</v>
      </c>
      <c r="S76" s="19">
        <f t="shared" si="15"/>
        <v>131.06778</v>
      </c>
      <c r="T76" s="26">
        <f t="shared" si="9"/>
        <v>314.95222000000001</v>
      </c>
      <c r="U76" s="19">
        <f t="shared" si="12"/>
        <v>314.95222000000001</v>
      </c>
      <c r="V76" s="21">
        <f t="shared" si="13"/>
        <v>0.36707717948717949</v>
      </c>
      <c r="W76" s="22">
        <f t="shared" si="14"/>
        <v>0</v>
      </c>
    </row>
    <row r="77" spans="1:23" x14ac:dyDescent="0.35">
      <c r="A77" s="11">
        <v>1188</v>
      </c>
      <c r="B77" s="9"/>
      <c r="C77" s="10"/>
      <c r="D77" s="10" t="s">
        <v>45</v>
      </c>
      <c r="E77" s="10" t="s">
        <v>50</v>
      </c>
      <c r="F77" s="11">
        <v>100</v>
      </c>
      <c r="G77" s="12"/>
      <c r="H77" s="12"/>
      <c r="I77" s="12"/>
      <c r="J77" s="12"/>
      <c r="K77" s="12"/>
      <c r="L77" s="12"/>
      <c r="M77" s="12"/>
      <c r="N77" s="24">
        <v>2.64</v>
      </c>
      <c r="O77" s="24"/>
      <c r="P77" s="16">
        <f t="shared" si="10"/>
        <v>264</v>
      </c>
      <c r="Q77" s="17">
        <v>472</v>
      </c>
      <c r="R77" s="18">
        <v>50</v>
      </c>
      <c r="S77" s="19">
        <f t="shared" si="15"/>
        <v>43.376799999999996</v>
      </c>
      <c r="T77" s="26">
        <f t="shared" si="9"/>
        <v>114.6232</v>
      </c>
      <c r="U77" s="19">
        <f t="shared" si="12"/>
        <v>114.6232</v>
      </c>
      <c r="V77" s="21">
        <f t="shared" si="13"/>
        <v>0.43417878787878789</v>
      </c>
      <c r="W77" s="22">
        <f t="shared" si="14"/>
        <v>0</v>
      </c>
    </row>
    <row r="78" spans="1:23" x14ac:dyDescent="0.35">
      <c r="A78" s="11">
        <v>1191</v>
      </c>
      <c r="B78" s="9"/>
      <c r="C78" s="10"/>
      <c r="D78" s="10" t="s">
        <v>45</v>
      </c>
      <c r="E78" s="10" t="s">
        <v>50</v>
      </c>
      <c r="F78" s="11">
        <v>12</v>
      </c>
      <c r="G78" s="12"/>
      <c r="H78" s="12"/>
      <c r="I78" s="12"/>
      <c r="J78" s="12"/>
      <c r="K78" s="12"/>
      <c r="L78" s="12"/>
      <c r="M78" s="12"/>
      <c r="N78" s="24">
        <v>2.64</v>
      </c>
      <c r="O78" s="24"/>
      <c r="P78" s="16">
        <f t="shared" si="10"/>
        <v>31.68</v>
      </c>
      <c r="Q78" s="17">
        <v>76.2</v>
      </c>
      <c r="R78" s="18">
        <v>10</v>
      </c>
      <c r="S78" s="19">
        <f t="shared" si="15"/>
        <v>7.0027799999999996</v>
      </c>
      <c r="T78" s="26">
        <f t="shared" si="9"/>
        <v>27.517220000000002</v>
      </c>
      <c r="U78" s="19">
        <f t="shared" si="12"/>
        <v>27.517220000000002</v>
      </c>
      <c r="V78" s="21">
        <f t="shared" si="13"/>
        <v>0.86859911616161622</v>
      </c>
      <c r="W78" s="22">
        <f t="shared" si="14"/>
        <v>0</v>
      </c>
    </row>
    <row r="79" spans="1:23" x14ac:dyDescent="0.35">
      <c r="A79" s="11">
        <v>1192</v>
      </c>
      <c r="B79" s="9">
        <v>46255</v>
      </c>
      <c r="C79" s="10" t="s">
        <v>97</v>
      </c>
      <c r="D79" s="10" t="s">
        <v>45</v>
      </c>
      <c r="E79" s="10" t="s">
        <v>50</v>
      </c>
      <c r="F79" s="11">
        <v>200</v>
      </c>
      <c r="G79" s="12"/>
      <c r="H79" s="12"/>
      <c r="I79" s="12"/>
      <c r="J79" s="12"/>
      <c r="K79" s="12"/>
      <c r="L79" s="12"/>
      <c r="M79" s="12"/>
      <c r="N79" s="24">
        <v>2.64</v>
      </c>
      <c r="O79" s="24"/>
      <c r="P79" s="16">
        <f t="shared" si="10"/>
        <v>528</v>
      </c>
      <c r="Q79" s="17">
        <v>1056</v>
      </c>
      <c r="R79" s="18">
        <v>40</v>
      </c>
      <c r="S79" s="19">
        <f t="shared" si="15"/>
        <v>97.046399999999991</v>
      </c>
      <c r="T79" s="26">
        <f t="shared" ref="T79:T93" si="16">U79</f>
        <v>390.95359999999999</v>
      </c>
      <c r="U79" s="19">
        <f t="shared" si="12"/>
        <v>390.95359999999999</v>
      </c>
      <c r="V79" s="21">
        <f t="shared" si="13"/>
        <v>0.74044242424242424</v>
      </c>
      <c r="W79" s="22">
        <f t="shared" si="14"/>
        <v>0</v>
      </c>
    </row>
    <row r="80" spans="1:23" x14ac:dyDescent="0.35">
      <c r="A80" s="11">
        <v>1193</v>
      </c>
      <c r="B80" s="9">
        <v>46258</v>
      </c>
      <c r="C80" s="10" t="s">
        <v>98</v>
      </c>
      <c r="D80" s="10" t="s">
        <v>45</v>
      </c>
      <c r="E80" s="10" t="s">
        <v>50</v>
      </c>
      <c r="F80" s="11">
        <v>60</v>
      </c>
      <c r="G80" s="12"/>
      <c r="H80" s="12"/>
      <c r="I80" s="12"/>
      <c r="J80" s="12"/>
      <c r="K80" s="12"/>
      <c r="L80" s="12"/>
      <c r="M80" s="12"/>
      <c r="N80" s="24">
        <v>2.64</v>
      </c>
      <c r="O80" s="24"/>
      <c r="P80" s="16">
        <f t="shared" si="10"/>
        <v>158.4</v>
      </c>
      <c r="Q80" s="17">
        <v>321</v>
      </c>
      <c r="R80" s="18">
        <v>40</v>
      </c>
      <c r="S80" s="19">
        <f t="shared" si="15"/>
        <v>29.4999</v>
      </c>
      <c r="T80" s="26">
        <f t="shared" si="16"/>
        <v>93.100099999999998</v>
      </c>
      <c r="U80" s="19">
        <f t="shared" si="12"/>
        <v>93.100099999999998</v>
      </c>
      <c r="V80" s="21">
        <f t="shared" si="13"/>
        <v>0.58775315656565652</v>
      </c>
      <c r="W80" s="22">
        <f t="shared" si="14"/>
        <v>0</v>
      </c>
    </row>
    <row r="81" spans="1:23" x14ac:dyDescent="0.35">
      <c r="A81" s="11">
        <v>1193</v>
      </c>
      <c r="B81" s="9"/>
      <c r="C81" s="34"/>
      <c r="D81" s="10" t="s">
        <v>45</v>
      </c>
      <c r="E81" s="10" t="s">
        <v>56</v>
      </c>
      <c r="F81" s="11">
        <v>48</v>
      </c>
      <c r="G81" s="12"/>
      <c r="H81" s="12"/>
      <c r="I81" s="12"/>
      <c r="J81" s="12"/>
      <c r="K81" s="12"/>
      <c r="L81" s="12"/>
      <c r="M81" s="12"/>
      <c r="N81" s="24">
        <v>14.3</v>
      </c>
      <c r="O81" s="24"/>
      <c r="P81" s="16">
        <f t="shared" si="10"/>
        <v>686.40000000000009</v>
      </c>
      <c r="Q81" s="17">
        <v>1310.4000000000001</v>
      </c>
      <c r="R81" s="18">
        <v>20</v>
      </c>
      <c r="S81" s="19">
        <f t="shared" si="15"/>
        <v>120.42576</v>
      </c>
      <c r="T81" s="26">
        <f t="shared" si="16"/>
        <v>483.57424000000003</v>
      </c>
      <c r="U81" s="19">
        <f t="shared" si="12"/>
        <v>483.57424000000003</v>
      </c>
      <c r="V81" s="21">
        <f t="shared" si="13"/>
        <v>0.70450792540792539</v>
      </c>
      <c r="W81" s="22">
        <f t="shared" si="14"/>
        <v>0</v>
      </c>
    </row>
    <row r="82" spans="1:23" x14ac:dyDescent="0.35">
      <c r="A82" s="11">
        <v>1194</v>
      </c>
      <c r="B82" s="9">
        <v>46258</v>
      </c>
      <c r="C82" s="10" t="s">
        <v>99</v>
      </c>
      <c r="D82" s="10" t="s">
        <v>45</v>
      </c>
      <c r="E82" s="10" t="s">
        <v>50</v>
      </c>
      <c r="F82" s="11">
        <v>200</v>
      </c>
      <c r="G82" s="12"/>
      <c r="H82" s="12"/>
      <c r="I82" s="12"/>
      <c r="J82" s="12"/>
      <c r="K82" s="12"/>
      <c r="L82" s="12"/>
      <c r="M82" s="12"/>
      <c r="N82" s="24">
        <v>2.64</v>
      </c>
      <c r="O82" s="24"/>
      <c r="P82" s="16">
        <f t="shared" si="10"/>
        <v>528</v>
      </c>
      <c r="Q82" s="17">
        <v>976</v>
      </c>
      <c r="R82" s="18">
        <v>104.43</v>
      </c>
      <c r="S82" s="19">
        <f t="shared" si="15"/>
        <v>89.694400000000002</v>
      </c>
      <c r="T82" s="26">
        <f t="shared" si="16"/>
        <v>253.87559999999999</v>
      </c>
      <c r="U82" s="19">
        <f t="shared" si="12"/>
        <v>253.87559999999999</v>
      </c>
      <c r="V82" s="21">
        <f t="shared" si="13"/>
        <v>0.480825</v>
      </c>
      <c r="W82" s="22">
        <f t="shared" si="14"/>
        <v>0</v>
      </c>
    </row>
    <row r="83" spans="1:23" x14ac:dyDescent="0.35">
      <c r="A83" s="11">
        <v>1195</v>
      </c>
      <c r="B83" s="9">
        <v>46258</v>
      </c>
      <c r="C83" s="10" t="s">
        <v>100</v>
      </c>
      <c r="D83" s="10" t="s">
        <v>45</v>
      </c>
      <c r="E83" s="10" t="s">
        <v>50</v>
      </c>
      <c r="F83" s="11">
        <v>48</v>
      </c>
      <c r="G83" s="12"/>
      <c r="H83" s="12"/>
      <c r="I83" s="12"/>
      <c r="J83" s="12"/>
      <c r="K83" s="12"/>
      <c r="L83" s="12"/>
      <c r="M83" s="12"/>
      <c r="N83" s="24">
        <v>2.64</v>
      </c>
      <c r="O83" s="24"/>
      <c r="P83" s="16">
        <f t="shared" si="10"/>
        <v>126.72</v>
      </c>
      <c r="Q83" s="17">
        <v>258.72000000000003</v>
      </c>
      <c r="R83" s="18">
        <v>0</v>
      </c>
      <c r="S83" s="19">
        <f t="shared" si="15"/>
        <v>23.776368000000002</v>
      </c>
      <c r="T83" s="26">
        <f t="shared" si="16"/>
        <v>108.22363200000002</v>
      </c>
      <c r="U83" s="19">
        <f t="shared" si="12"/>
        <v>108.22363200000002</v>
      </c>
      <c r="V83" s="21">
        <f t="shared" si="13"/>
        <v>0.85403750000000023</v>
      </c>
      <c r="W83" s="22">
        <f t="shared" si="14"/>
        <v>0</v>
      </c>
    </row>
    <row r="84" spans="1:23" x14ac:dyDescent="0.35">
      <c r="A84" s="11">
        <v>1197</v>
      </c>
      <c r="B84" s="9"/>
      <c r="C84" s="10"/>
      <c r="D84" s="10" t="s">
        <v>45</v>
      </c>
      <c r="E84" s="10" t="s">
        <v>58</v>
      </c>
      <c r="F84" s="11">
        <v>96</v>
      </c>
      <c r="G84" s="12"/>
      <c r="H84" s="12"/>
      <c r="I84" s="12"/>
      <c r="J84" s="12"/>
      <c r="K84" s="12"/>
      <c r="L84" s="12"/>
      <c r="M84" s="12"/>
      <c r="N84" s="24">
        <v>21.96</v>
      </c>
      <c r="O84" s="24"/>
      <c r="P84" s="16">
        <f t="shared" si="10"/>
        <v>2108.16</v>
      </c>
      <c r="Q84" s="29">
        <v>2544</v>
      </c>
      <c r="R84" s="18">
        <v>100</v>
      </c>
      <c r="S84" s="19">
        <f t="shared" si="15"/>
        <v>233.7936</v>
      </c>
      <c r="T84" s="26">
        <f t="shared" si="16"/>
        <v>102.04640000000015</v>
      </c>
      <c r="U84" s="19">
        <f t="shared" si="12"/>
        <v>102.04640000000015</v>
      </c>
      <c r="V84" s="21">
        <f t="shared" si="13"/>
        <v>4.8405434122647313E-2</v>
      </c>
      <c r="W84" s="22">
        <f t="shared" si="14"/>
        <v>0</v>
      </c>
    </row>
    <row r="85" spans="1:23" x14ac:dyDescent="0.35">
      <c r="A85" s="11">
        <v>1197</v>
      </c>
      <c r="B85" s="9"/>
      <c r="C85" s="10"/>
      <c r="D85" s="10" t="s">
        <v>45</v>
      </c>
      <c r="E85" s="10" t="s">
        <v>47</v>
      </c>
      <c r="F85" s="11">
        <v>128</v>
      </c>
      <c r="G85" s="12"/>
      <c r="H85" s="12"/>
      <c r="I85" s="12"/>
      <c r="J85" s="12"/>
      <c r="K85" s="12"/>
      <c r="L85" s="12"/>
      <c r="M85" s="12"/>
      <c r="N85" s="24">
        <v>32</v>
      </c>
      <c r="O85" s="24"/>
      <c r="P85" s="16">
        <f t="shared" si="10"/>
        <v>4096</v>
      </c>
      <c r="Q85" s="17">
        <v>5088</v>
      </c>
      <c r="R85" s="18">
        <v>200</v>
      </c>
      <c r="S85" s="19">
        <f t="shared" si="15"/>
        <v>467.5872</v>
      </c>
      <c r="T85" s="26">
        <f t="shared" si="16"/>
        <v>324.4128</v>
      </c>
      <c r="U85" s="19">
        <f t="shared" si="12"/>
        <v>324.4128</v>
      </c>
      <c r="V85" s="21">
        <f t="shared" si="13"/>
        <v>7.9202343750000001E-2</v>
      </c>
      <c r="W85" s="22">
        <f t="shared" si="14"/>
        <v>0</v>
      </c>
    </row>
    <row r="86" spans="1:23" x14ac:dyDescent="0.35">
      <c r="A86" s="11">
        <v>1199</v>
      </c>
      <c r="B86" s="9"/>
      <c r="C86" s="10"/>
      <c r="D86" s="10" t="s">
        <v>45</v>
      </c>
      <c r="E86" s="10" t="s">
        <v>50</v>
      </c>
      <c r="F86" s="11">
        <v>40</v>
      </c>
      <c r="G86" s="12"/>
      <c r="H86" s="12"/>
      <c r="I86" s="12"/>
      <c r="J86" s="12"/>
      <c r="K86" s="12"/>
      <c r="L86" s="12"/>
      <c r="M86" s="12"/>
      <c r="N86" s="24">
        <v>2.64</v>
      </c>
      <c r="O86" s="24"/>
      <c r="P86" s="16">
        <f t="shared" si="10"/>
        <v>105.60000000000001</v>
      </c>
      <c r="Q86" s="29">
        <v>240</v>
      </c>
      <c r="R86" s="18">
        <v>38.799999999999997</v>
      </c>
      <c r="S86" s="19">
        <f t="shared" si="15"/>
        <v>22.055999999999997</v>
      </c>
      <c r="T86" s="26">
        <f t="shared" si="16"/>
        <v>73.543999999999983</v>
      </c>
      <c r="U86" s="19">
        <f t="shared" si="12"/>
        <v>73.543999999999983</v>
      </c>
      <c r="V86" s="21">
        <f t="shared" si="13"/>
        <v>0.69643939393939369</v>
      </c>
      <c r="W86" s="22">
        <f t="shared" si="14"/>
        <v>0</v>
      </c>
    </row>
    <row r="87" spans="1:23" x14ac:dyDescent="0.35">
      <c r="A87" s="11">
        <v>1200</v>
      </c>
      <c r="B87" s="9">
        <v>46260</v>
      </c>
      <c r="C87" s="10" t="s">
        <v>90</v>
      </c>
      <c r="D87" s="10" t="s">
        <v>45</v>
      </c>
      <c r="E87" s="10" t="s">
        <v>56</v>
      </c>
      <c r="F87" s="11">
        <v>72</v>
      </c>
      <c r="G87" s="12"/>
      <c r="H87" s="12"/>
      <c r="I87" s="12"/>
      <c r="J87" s="12"/>
      <c r="K87" s="12"/>
      <c r="L87" s="12"/>
      <c r="M87" s="12"/>
      <c r="N87" s="24">
        <v>14.3</v>
      </c>
      <c r="O87" s="24"/>
      <c r="P87" s="16">
        <f t="shared" si="10"/>
        <v>1029.6000000000001</v>
      </c>
      <c r="Q87" s="17">
        <v>1767.6</v>
      </c>
      <c r="R87" s="18">
        <v>119.28</v>
      </c>
      <c r="S87" s="19">
        <f t="shared" si="15"/>
        <v>162.44243999999998</v>
      </c>
      <c r="T87" s="26">
        <f t="shared" si="16"/>
        <v>456.27755999999982</v>
      </c>
      <c r="U87" s="19">
        <f t="shared" si="12"/>
        <v>456.27755999999982</v>
      </c>
      <c r="V87" s="21">
        <f t="shared" si="13"/>
        <v>0.44316002331002308</v>
      </c>
      <c r="W87" s="22">
        <f t="shared" si="14"/>
        <v>0</v>
      </c>
    </row>
    <row r="88" spans="1:23" x14ac:dyDescent="0.35">
      <c r="A88" s="11">
        <v>1201</v>
      </c>
      <c r="B88" s="9">
        <v>46260</v>
      </c>
      <c r="C88" s="10" t="s">
        <v>30</v>
      </c>
      <c r="D88" s="10" t="s">
        <v>45</v>
      </c>
      <c r="E88" s="10" t="s">
        <v>56</v>
      </c>
      <c r="F88" s="11">
        <v>72</v>
      </c>
      <c r="G88" s="12"/>
      <c r="H88" s="12"/>
      <c r="I88" s="12"/>
      <c r="J88" s="12"/>
      <c r="K88" s="12"/>
      <c r="L88" s="12"/>
      <c r="M88" s="12"/>
      <c r="N88" s="24">
        <v>14.3</v>
      </c>
      <c r="O88" s="24"/>
      <c r="P88" s="16">
        <f t="shared" si="10"/>
        <v>1029.6000000000001</v>
      </c>
      <c r="Q88" s="29">
        <v>1692</v>
      </c>
      <c r="R88" s="18">
        <v>125.39</v>
      </c>
      <c r="S88" s="19">
        <f t="shared" si="15"/>
        <v>155.4948</v>
      </c>
      <c r="T88" s="26">
        <f t="shared" si="16"/>
        <v>381.51519999999988</v>
      </c>
      <c r="U88" s="19">
        <f t="shared" si="12"/>
        <v>381.51519999999988</v>
      </c>
      <c r="V88" s="21">
        <f t="shared" si="13"/>
        <v>0.37054700854700839</v>
      </c>
      <c r="W88" s="22">
        <f t="shared" si="14"/>
        <v>0</v>
      </c>
    </row>
    <row r="89" spans="1:23" x14ac:dyDescent="0.35">
      <c r="A89" s="11">
        <v>1202</v>
      </c>
      <c r="B89" s="9">
        <v>46261</v>
      </c>
      <c r="C89" s="10" t="s">
        <v>97</v>
      </c>
      <c r="D89" s="10" t="s">
        <v>92</v>
      </c>
      <c r="E89" s="10" t="s">
        <v>101</v>
      </c>
      <c r="F89" s="11">
        <v>1</v>
      </c>
      <c r="G89" s="12"/>
      <c r="H89" s="12"/>
      <c r="I89" s="12"/>
      <c r="J89" s="12"/>
      <c r="K89" s="12"/>
      <c r="L89" s="12"/>
      <c r="M89" s="12"/>
      <c r="N89" s="24">
        <v>586</v>
      </c>
      <c r="O89" s="24"/>
      <c r="P89" s="16">
        <f t="shared" si="10"/>
        <v>586</v>
      </c>
      <c r="Q89" s="29">
        <v>942.62</v>
      </c>
      <c r="R89" s="18">
        <v>0</v>
      </c>
      <c r="S89" s="19">
        <f t="shared" si="15"/>
        <v>86.626778000000002</v>
      </c>
      <c r="T89" s="26">
        <f t="shared" si="16"/>
        <v>269.993222</v>
      </c>
      <c r="U89" s="19">
        <f t="shared" si="12"/>
        <v>269.993222</v>
      </c>
      <c r="V89" s="21">
        <f t="shared" si="13"/>
        <v>0.46073928668941982</v>
      </c>
      <c r="W89" s="22">
        <f t="shared" si="14"/>
        <v>0</v>
      </c>
    </row>
    <row r="90" spans="1:23" x14ac:dyDescent="0.35">
      <c r="A90" s="11">
        <v>1202</v>
      </c>
      <c r="B90" s="9"/>
      <c r="C90" s="10"/>
      <c r="D90" s="10" t="s">
        <v>92</v>
      </c>
      <c r="E90" s="10" t="s">
        <v>95</v>
      </c>
      <c r="F90" s="11">
        <v>200</v>
      </c>
      <c r="G90" s="12"/>
      <c r="H90" s="12"/>
      <c r="I90" s="12"/>
      <c r="J90" s="12"/>
      <c r="K90" s="12"/>
      <c r="L90" s="12"/>
      <c r="M90" s="12"/>
      <c r="N90" s="24">
        <v>0.54</v>
      </c>
      <c r="O90" s="24"/>
      <c r="P90" s="16">
        <f t="shared" si="10"/>
        <v>108</v>
      </c>
      <c r="Q90" s="29">
        <v>156</v>
      </c>
      <c r="R90" s="18">
        <v>40</v>
      </c>
      <c r="S90" s="19">
        <f t="shared" si="15"/>
        <v>14.336399999999999</v>
      </c>
      <c r="T90" s="26">
        <f t="shared" si="16"/>
        <v>-6.3363999999999994</v>
      </c>
      <c r="U90" s="19">
        <f t="shared" si="12"/>
        <v>-6.3363999999999994</v>
      </c>
      <c r="V90" s="21">
        <f t="shared" si="13"/>
        <v>-5.8670370370370366E-2</v>
      </c>
      <c r="W90" s="22">
        <f t="shared" si="14"/>
        <v>0</v>
      </c>
    </row>
    <row r="91" spans="1:23" x14ac:dyDescent="0.35">
      <c r="A91" s="11">
        <v>1203</v>
      </c>
      <c r="B91" s="9">
        <v>46265</v>
      </c>
      <c r="C91" s="10" t="s">
        <v>102</v>
      </c>
      <c r="D91" s="10" t="s">
        <v>45</v>
      </c>
      <c r="E91" s="10" t="s">
        <v>50</v>
      </c>
      <c r="F91" s="11">
        <v>2500</v>
      </c>
      <c r="G91" s="12"/>
      <c r="H91" s="12"/>
      <c r="I91" s="12"/>
      <c r="J91" s="12"/>
      <c r="K91" s="12"/>
      <c r="L91" s="12"/>
      <c r="M91" s="12"/>
      <c r="N91" s="24">
        <v>2.64</v>
      </c>
      <c r="O91" s="24"/>
      <c r="P91" s="16">
        <f t="shared" si="10"/>
        <v>6600</v>
      </c>
      <c r="Q91" s="29">
        <v>9225</v>
      </c>
      <c r="R91" s="18">
        <v>0</v>
      </c>
      <c r="S91" s="19">
        <f t="shared" si="15"/>
        <v>847.77749999999992</v>
      </c>
      <c r="T91" s="26">
        <f t="shared" si="16"/>
        <v>1777.2225000000001</v>
      </c>
      <c r="U91" s="19">
        <f t="shared" si="12"/>
        <v>1777.2225000000001</v>
      </c>
      <c r="V91" s="21">
        <f t="shared" si="13"/>
        <v>0.2692761363636364</v>
      </c>
      <c r="W91" s="22">
        <f t="shared" si="14"/>
        <v>0</v>
      </c>
    </row>
    <row r="92" spans="1:23" x14ac:dyDescent="0.35">
      <c r="A92" s="11">
        <v>1203</v>
      </c>
      <c r="B92" s="9"/>
      <c r="C92" s="10"/>
      <c r="D92" s="10" t="s">
        <v>45</v>
      </c>
      <c r="E92" s="10" t="s">
        <v>56</v>
      </c>
      <c r="F92" s="11">
        <v>240</v>
      </c>
      <c r="G92" s="12"/>
      <c r="H92" s="12"/>
      <c r="I92" s="12"/>
      <c r="J92" s="12"/>
      <c r="K92" s="12"/>
      <c r="L92" s="12"/>
      <c r="M92" s="12"/>
      <c r="N92" s="24">
        <v>14.3</v>
      </c>
      <c r="O92" s="24"/>
      <c r="P92" s="16">
        <f t="shared" si="10"/>
        <v>3432</v>
      </c>
      <c r="Q92" s="29">
        <v>5179.2</v>
      </c>
      <c r="R92" s="18">
        <v>0</v>
      </c>
      <c r="S92" s="19">
        <f t="shared" si="15"/>
        <v>475.96847999999994</v>
      </c>
      <c r="T92" s="26">
        <f t="shared" si="16"/>
        <v>1271.2315199999998</v>
      </c>
      <c r="U92" s="19">
        <f t="shared" si="12"/>
        <v>1271.2315199999998</v>
      </c>
      <c r="V92" s="21">
        <f t="shared" si="13"/>
        <v>0.37040545454545448</v>
      </c>
      <c r="W92" s="22">
        <f t="shared" si="14"/>
        <v>0</v>
      </c>
    </row>
    <row r="93" spans="1:23" x14ac:dyDescent="0.35">
      <c r="A93" s="11">
        <v>1204</v>
      </c>
      <c r="B93" s="9"/>
      <c r="C93" s="10"/>
      <c r="D93" s="10" t="s">
        <v>45</v>
      </c>
      <c r="E93" s="10" t="s">
        <v>56</v>
      </c>
      <c r="F93" s="11">
        <v>4</v>
      </c>
      <c r="G93" s="12"/>
      <c r="H93" s="12"/>
      <c r="I93" s="12"/>
      <c r="J93" s="12"/>
      <c r="K93" s="12"/>
      <c r="L93" s="12"/>
      <c r="M93" s="12"/>
      <c r="N93" s="24">
        <v>14.3</v>
      </c>
      <c r="O93" s="24"/>
      <c r="P93" s="16">
        <f t="shared" si="10"/>
        <v>57.2</v>
      </c>
      <c r="Q93" s="29">
        <v>100</v>
      </c>
      <c r="R93" s="35"/>
      <c r="S93" s="19">
        <f t="shared" si="15"/>
        <v>9.19</v>
      </c>
      <c r="T93" s="26">
        <f t="shared" si="16"/>
        <v>33.61</v>
      </c>
      <c r="U93" s="19">
        <f t="shared" si="12"/>
        <v>33.61</v>
      </c>
      <c r="V93" s="21">
        <f t="shared" si="13"/>
        <v>0.58758741258741254</v>
      </c>
      <c r="W93" s="22">
        <f t="shared" si="14"/>
        <v>0</v>
      </c>
    </row>
    <row r="94" spans="1:23" x14ac:dyDescent="0.35">
      <c r="A94" s="8">
        <v>1181</v>
      </c>
      <c r="B94" s="9">
        <v>46248</v>
      </c>
      <c r="C94" s="32" t="s">
        <v>103</v>
      </c>
      <c r="D94" s="10" t="s">
        <v>21</v>
      </c>
      <c r="E94" s="33" t="s">
        <v>104</v>
      </c>
      <c r="F94" s="11">
        <v>30</v>
      </c>
      <c r="G94" s="12">
        <v>100</v>
      </c>
      <c r="H94" s="12">
        <v>80</v>
      </c>
      <c r="I94" s="12">
        <f t="shared" ref="I94:I130" si="17">((G94+6)*(H94+3))/1000000</f>
        <v>8.7980000000000003E-3</v>
      </c>
      <c r="J94" s="12">
        <v>4.17</v>
      </c>
      <c r="K94" s="12">
        <v>0.34</v>
      </c>
      <c r="L94" s="12">
        <v>470</v>
      </c>
      <c r="M94" s="13">
        <f t="shared" ref="M94:M130" si="18">(I94*J94*L94)+K94</f>
        <v>17.5832002</v>
      </c>
      <c r="N94" s="25">
        <v>17.66</v>
      </c>
      <c r="O94" s="15">
        <f t="shared" ref="O94:O130" si="19">N94/M94</f>
        <v>1.0043677942084741</v>
      </c>
      <c r="P94" s="16">
        <f t="shared" si="10"/>
        <v>529.79999999999995</v>
      </c>
      <c r="Q94" s="29">
        <v>973.8</v>
      </c>
      <c r="R94" s="18">
        <v>40</v>
      </c>
      <c r="S94" s="19">
        <f>Q94*0.09</f>
        <v>87.641999999999996</v>
      </c>
      <c r="T94" s="20">
        <f t="shared" ref="T94:T130" si="20">Q94-((M94*F94)+R94+S94)</f>
        <v>318.66199400000005</v>
      </c>
      <c r="U94" s="19">
        <f t="shared" si="12"/>
        <v>316.358</v>
      </c>
      <c r="V94" s="21">
        <f t="shared" si="13"/>
        <v>0.59712721781804456</v>
      </c>
      <c r="W94" s="22">
        <f t="shared" si="14"/>
        <v>2.3039940000000456</v>
      </c>
    </row>
    <row r="95" spans="1:23" x14ac:dyDescent="0.35">
      <c r="A95" s="8">
        <v>1169</v>
      </c>
      <c r="B95" s="9">
        <v>46239</v>
      </c>
      <c r="C95" s="10" t="s">
        <v>103</v>
      </c>
      <c r="D95" s="10" t="s">
        <v>21</v>
      </c>
      <c r="E95" s="10" t="s">
        <v>104</v>
      </c>
      <c r="F95" s="11">
        <v>25</v>
      </c>
      <c r="G95" s="12">
        <v>100</v>
      </c>
      <c r="H95" s="12">
        <v>80</v>
      </c>
      <c r="I95" s="12">
        <f t="shared" si="17"/>
        <v>8.7980000000000003E-3</v>
      </c>
      <c r="J95" s="12">
        <v>4.17</v>
      </c>
      <c r="K95" s="12">
        <v>0.34</v>
      </c>
      <c r="L95" s="12">
        <v>470</v>
      </c>
      <c r="M95" s="13">
        <f t="shared" si="18"/>
        <v>17.5832002</v>
      </c>
      <c r="N95" s="24">
        <v>17.690000000000001</v>
      </c>
      <c r="O95" s="15">
        <f t="shared" si="19"/>
        <v>1.0060739682643209</v>
      </c>
      <c r="P95" s="16">
        <f t="shared" si="10"/>
        <v>442.25000000000006</v>
      </c>
      <c r="Q95" s="17">
        <v>811.5</v>
      </c>
      <c r="R95" s="18">
        <v>40</v>
      </c>
      <c r="S95" s="19">
        <f t="shared" ref="S95:S112" si="21">Q95*0.0919</f>
        <v>74.576849999999993</v>
      </c>
      <c r="T95" s="20">
        <f t="shared" si="20"/>
        <v>257.34314499999994</v>
      </c>
      <c r="U95" s="19">
        <f t="shared" si="12"/>
        <v>254.67314999999996</v>
      </c>
      <c r="V95" s="21">
        <f t="shared" si="13"/>
        <v>0.57585788581119257</v>
      </c>
      <c r="W95" s="22">
        <f t="shared" si="14"/>
        <v>2.6699949999999717</v>
      </c>
    </row>
    <row r="96" spans="1:23" ht="29" x14ac:dyDescent="0.35">
      <c r="A96" s="8">
        <v>1189</v>
      </c>
      <c r="B96" s="9">
        <v>46254</v>
      </c>
      <c r="C96" s="10" t="s">
        <v>30</v>
      </c>
      <c r="D96" s="10" t="s">
        <v>27</v>
      </c>
      <c r="E96" s="36" t="s">
        <v>105</v>
      </c>
      <c r="F96" s="11">
        <v>32</v>
      </c>
      <c r="G96" s="12">
        <v>100</v>
      </c>
      <c r="H96" s="12">
        <v>70</v>
      </c>
      <c r="I96" s="12">
        <f t="shared" si="17"/>
        <v>7.7380000000000001E-3</v>
      </c>
      <c r="J96" s="12">
        <v>3.26</v>
      </c>
      <c r="K96" s="12">
        <v>0.34</v>
      </c>
      <c r="L96" s="12">
        <v>1000</v>
      </c>
      <c r="M96" s="13">
        <f t="shared" si="18"/>
        <v>25.56588</v>
      </c>
      <c r="N96" s="24">
        <v>25.7</v>
      </c>
      <c r="O96" s="15">
        <f t="shared" si="19"/>
        <v>1.0052460545070225</v>
      </c>
      <c r="P96" s="16">
        <f t="shared" si="10"/>
        <v>822.4</v>
      </c>
      <c r="Q96" s="17">
        <v>1280</v>
      </c>
      <c r="R96" s="18">
        <v>82.59</v>
      </c>
      <c r="S96" s="19">
        <f t="shared" si="21"/>
        <v>117.63199999999999</v>
      </c>
      <c r="T96" s="20">
        <f t="shared" si="20"/>
        <v>261.66984000000002</v>
      </c>
      <c r="U96" s="19">
        <f t="shared" si="12"/>
        <v>257.37799999999999</v>
      </c>
      <c r="V96" s="21">
        <f t="shared" si="13"/>
        <v>0.31295963035019453</v>
      </c>
      <c r="W96" s="22">
        <f t="shared" si="14"/>
        <v>4.2918400000000361</v>
      </c>
    </row>
    <row r="97" spans="1:23" x14ac:dyDescent="0.35">
      <c r="A97" s="8">
        <v>1196</v>
      </c>
      <c r="B97" s="9"/>
      <c r="C97" s="10" t="s">
        <v>106</v>
      </c>
      <c r="D97" s="10" t="s">
        <v>21</v>
      </c>
      <c r="E97" s="10" t="s">
        <v>107</v>
      </c>
      <c r="F97" s="11">
        <v>5</v>
      </c>
      <c r="G97" s="12">
        <v>50</v>
      </c>
      <c r="H97" s="12">
        <v>30</v>
      </c>
      <c r="I97" s="12">
        <f t="shared" si="17"/>
        <v>1.848E-3</v>
      </c>
      <c r="J97" s="12">
        <v>4.45</v>
      </c>
      <c r="K97" s="12">
        <v>0.24</v>
      </c>
      <c r="L97" s="12">
        <v>1500</v>
      </c>
      <c r="M97" s="13">
        <f t="shared" si="18"/>
        <v>12.575400000000002</v>
      </c>
      <c r="N97" s="24">
        <v>13.45</v>
      </c>
      <c r="O97" s="15">
        <f t="shared" si="19"/>
        <v>1.0695484835472429</v>
      </c>
      <c r="P97" s="16">
        <f t="shared" si="10"/>
        <v>67.25</v>
      </c>
      <c r="Q97" s="17">
        <v>108.1</v>
      </c>
      <c r="R97" s="18">
        <v>0</v>
      </c>
      <c r="S97" s="19">
        <f t="shared" si="21"/>
        <v>9.9343899999999987</v>
      </c>
      <c r="T97" s="20">
        <f t="shared" si="20"/>
        <v>35.288609999999991</v>
      </c>
      <c r="U97" s="19">
        <f t="shared" si="12"/>
        <v>30.915609999999994</v>
      </c>
      <c r="V97" s="21">
        <f t="shared" si="13"/>
        <v>0.45971167286245346</v>
      </c>
      <c r="W97" s="22">
        <f t="shared" si="14"/>
        <v>4.3729999999999976</v>
      </c>
    </row>
    <row r="98" spans="1:23" x14ac:dyDescent="0.35">
      <c r="A98" s="8">
        <v>1195</v>
      </c>
      <c r="B98" s="9"/>
      <c r="C98" s="37" t="s">
        <v>108</v>
      </c>
      <c r="D98" s="10" t="s">
        <v>109</v>
      </c>
      <c r="E98" s="10" t="s">
        <v>110</v>
      </c>
      <c r="F98" s="11">
        <v>1</v>
      </c>
      <c r="G98" s="12">
        <v>100</v>
      </c>
      <c r="H98" s="12">
        <v>50</v>
      </c>
      <c r="I98" s="12">
        <f t="shared" si="17"/>
        <v>5.6179999999999997E-3</v>
      </c>
      <c r="J98" s="12">
        <v>3.26</v>
      </c>
      <c r="K98" s="12">
        <v>0.34</v>
      </c>
      <c r="L98" s="12">
        <v>500</v>
      </c>
      <c r="M98" s="13">
        <f t="shared" si="18"/>
        <v>9.4973399999999977</v>
      </c>
      <c r="N98" s="24">
        <v>14.3</v>
      </c>
      <c r="O98" s="15">
        <f t="shared" si="19"/>
        <v>1.5056847496246322</v>
      </c>
      <c r="P98" s="16">
        <f t="shared" si="10"/>
        <v>14.3</v>
      </c>
      <c r="Q98" s="17">
        <v>25.89</v>
      </c>
      <c r="R98" s="18">
        <v>0</v>
      </c>
      <c r="S98" s="19">
        <f t="shared" si="21"/>
        <v>2.3792909999999998</v>
      </c>
      <c r="T98" s="20">
        <f t="shared" si="20"/>
        <v>14.013369000000003</v>
      </c>
      <c r="U98" s="19">
        <f t="shared" si="12"/>
        <v>9.2107089999999996</v>
      </c>
      <c r="V98" s="21">
        <f t="shared" si="13"/>
        <v>0.64410552447552438</v>
      </c>
      <c r="W98" s="22">
        <f t="shared" si="14"/>
        <v>4.802660000000003</v>
      </c>
    </row>
    <row r="99" spans="1:23" x14ac:dyDescent="0.35">
      <c r="A99" s="8">
        <v>1191</v>
      </c>
      <c r="B99" s="9">
        <v>46255</v>
      </c>
      <c r="C99" s="10" t="s">
        <v>111</v>
      </c>
      <c r="D99" s="10" t="s">
        <v>21</v>
      </c>
      <c r="E99" s="10" t="s">
        <v>112</v>
      </c>
      <c r="F99" s="11">
        <v>50</v>
      </c>
      <c r="G99" s="12">
        <v>100</v>
      </c>
      <c r="H99" s="12">
        <v>100</v>
      </c>
      <c r="I99" s="12">
        <f t="shared" si="17"/>
        <v>1.0918000000000001E-2</v>
      </c>
      <c r="J99" s="12">
        <v>3.26</v>
      </c>
      <c r="K99" s="12">
        <v>0.34</v>
      </c>
      <c r="L99" s="12">
        <v>310</v>
      </c>
      <c r="M99" s="13">
        <f t="shared" si="18"/>
        <v>11.373730800000001</v>
      </c>
      <c r="N99" s="24">
        <v>11.5</v>
      </c>
      <c r="O99" s="15">
        <f t="shared" si="19"/>
        <v>1.0111018277309676</v>
      </c>
      <c r="P99" s="16">
        <f t="shared" si="10"/>
        <v>575</v>
      </c>
      <c r="Q99" s="17">
        <v>1007</v>
      </c>
      <c r="R99" s="18">
        <v>40</v>
      </c>
      <c r="S99" s="19">
        <f t="shared" si="21"/>
        <v>92.543300000000002</v>
      </c>
      <c r="T99" s="20">
        <f t="shared" si="20"/>
        <v>305.77015999999992</v>
      </c>
      <c r="U99" s="19">
        <f t="shared" si="12"/>
        <v>299.45670000000001</v>
      </c>
      <c r="V99" s="21">
        <f t="shared" si="13"/>
        <v>0.52079426086956526</v>
      </c>
      <c r="W99" s="22">
        <f t="shared" si="14"/>
        <v>6.3134599999999068</v>
      </c>
    </row>
    <row r="100" spans="1:23" x14ac:dyDescent="0.35">
      <c r="A100" s="8">
        <v>1199</v>
      </c>
      <c r="B100" s="9">
        <v>46260</v>
      </c>
      <c r="C100" s="10" t="s">
        <v>113</v>
      </c>
      <c r="D100" s="10" t="s">
        <v>109</v>
      </c>
      <c r="E100" s="10" t="s">
        <v>114</v>
      </c>
      <c r="F100" s="11">
        <v>20</v>
      </c>
      <c r="G100" s="12">
        <v>100</v>
      </c>
      <c r="H100" s="12">
        <v>50</v>
      </c>
      <c r="I100" s="12">
        <f t="shared" si="17"/>
        <v>5.6179999999999997E-3</v>
      </c>
      <c r="J100" s="12">
        <v>3.14</v>
      </c>
      <c r="K100" s="12">
        <v>0.34</v>
      </c>
      <c r="L100" s="12">
        <v>500</v>
      </c>
      <c r="M100" s="13">
        <f t="shared" si="18"/>
        <v>9.1602599999999992</v>
      </c>
      <c r="N100" s="24">
        <v>9.5500000000000007</v>
      </c>
      <c r="O100" s="24">
        <f t="shared" si="19"/>
        <v>1.0425468272734619</v>
      </c>
      <c r="P100" s="16">
        <f t="shared" si="10"/>
        <v>191</v>
      </c>
      <c r="Q100" s="29">
        <v>319.8</v>
      </c>
      <c r="R100" s="18">
        <v>15</v>
      </c>
      <c r="S100" s="19">
        <f t="shared" si="21"/>
        <v>29.389620000000001</v>
      </c>
      <c r="T100" s="20">
        <f t="shared" si="20"/>
        <v>92.205180000000013</v>
      </c>
      <c r="U100" s="19">
        <f t="shared" si="12"/>
        <v>84.410380000000004</v>
      </c>
      <c r="V100" s="21">
        <f t="shared" si="13"/>
        <v>0.44193916230366492</v>
      </c>
      <c r="W100" s="22">
        <f t="shared" si="14"/>
        <v>7.7948000000000093</v>
      </c>
    </row>
    <row r="101" spans="1:23" x14ac:dyDescent="0.35">
      <c r="A101" s="8">
        <v>1199</v>
      </c>
      <c r="B101" s="9"/>
      <c r="C101" s="10" t="s">
        <v>113</v>
      </c>
      <c r="D101" s="10" t="s">
        <v>109</v>
      </c>
      <c r="E101" s="10" t="s">
        <v>115</v>
      </c>
      <c r="F101" s="11">
        <v>20</v>
      </c>
      <c r="G101" s="12">
        <v>100</v>
      </c>
      <c r="H101" s="12">
        <v>50</v>
      </c>
      <c r="I101" s="12">
        <f t="shared" si="17"/>
        <v>5.6179999999999997E-3</v>
      </c>
      <c r="J101" s="12">
        <v>3.14</v>
      </c>
      <c r="K101" s="12">
        <v>0.34</v>
      </c>
      <c r="L101" s="12">
        <v>500</v>
      </c>
      <c r="M101" s="13">
        <f t="shared" si="18"/>
        <v>9.1602599999999992</v>
      </c>
      <c r="N101" s="24">
        <v>9.5500000000000007</v>
      </c>
      <c r="O101" s="24">
        <f t="shared" si="19"/>
        <v>1.0425468272734619</v>
      </c>
      <c r="P101" s="16">
        <f t="shared" si="10"/>
        <v>191</v>
      </c>
      <c r="Q101" s="29">
        <v>319.8</v>
      </c>
      <c r="R101" s="18">
        <v>15</v>
      </c>
      <c r="S101" s="19">
        <f t="shared" si="21"/>
        <v>29.389620000000001</v>
      </c>
      <c r="T101" s="20">
        <f t="shared" si="20"/>
        <v>92.205180000000013</v>
      </c>
      <c r="U101" s="19">
        <f t="shared" si="12"/>
        <v>84.410380000000004</v>
      </c>
      <c r="V101" s="21">
        <f t="shared" si="13"/>
        <v>0.44193916230366492</v>
      </c>
      <c r="W101" s="22">
        <f t="shared" si="14"/>
        <v>7.7948000000000093</v>
      </c>
    </row>
    <row r="102" spans="1:23" x14ac:dyDescent="0.35">
      <c r="A102" s="8">
        <v>1199</v>
      </c>
      <c r="B102" s="9"/>
      <c r="C102" s="10" t="s">
        <v>113</v>
      </c>
      <c r="D102" s="10" t="s">
        <v>109</v>
      </c>
      <c r="E102" s="10" t="s">
        <v>116</v>
      </c>
      <c r="F102" s="11">
        <v>20</v>
      </c>
      <c r="G102" s="12">
        <v>100</v>
      </c>
      <c r="H102" s="12">
        <v>50</v>
      </c>
      <c r="I102" s="12">
        <f t="shared" si="17"/>
        <v>5.6179999999999997E-3</v>
      </c>
      <c r="J102" s="12">
        <v>3.14</v>
      </c>
      <c r="K102" s="12">
        <v>0.34</v>
      </c>
      <c r="L102" s="12">
        <v>500</v>
      </c>
      <c r="M102" s="13">
        <f t="shared" si="18"/>
        <v>9.1602599999999992</v>
      </c>
      <c r="N102" s="24">
        <v>9.5500000000000007</v>
      </c>
      <c r="O102" s="24">
        <f t="shared" si="19"/>
        <v>1.0425468272734619</v>
      </c>
      <c r="P102" s="16">
        <f t="shared" si="10"/>
        <v>191</v>
      </c>
      <c r="Q102" s="29">
        <v>319.8</v>
      </c>
      <c r="R102" s="18">
        <v>15</v>
      </c>
      <c r="S102" s="19">
        <f t="shared" si="21"/>
        <v>29.389620000000001</v>
      </c>
      <c r="T102" s="20">
        <f t="shared" si="20"/>
        <v>92.205180000000013</v>
      </c>
      <c r="U102" s="19">
        <f t="shared" si="12"/>
        <v>84.410380000000004</v>
      </c>
      <c r="V102" s="21">
        <f t="shared" si="13"/>
        <v>0.44193916230366492</v>
      </c>
      <c r="W102" s="22">
        <f t="shared" si="14"/>
        <v>7.7948000000000093</v>
      </c>
    </row>
    <row r="103" spans="1:23" x14ac:dyDescent="0.35">
      <c r="A103" s="23">
        <v>3643</v>
      </c>
      <c r="B103" s="9">
        <v>46265</v>
      </c>
      <c r="C103" s="10" t="s">
        <v>37</v>
      </c>
      <c r="D103" s="10" t="s">
        <v>21</v>
      </c>
      <c r="E103" s="10" t="s">
        <v>117</v>
      </c>
      <c r="F103" s="11">
        <v>9</v>
      </c>
      <c r="G103" s="12">
        <v>210</v>
      </c>
      <c r="H103" s="12">
        <v>100</v>
      </c>
      <c r="I103" s="12">
        <f t="shared" si="17"/>
        <v>2.2248E-2</v>
      </c>
      <c r="J103" s="12">
        <v>4.45</v>
      </c>
      <c r="K103" s="12">
        <v>1.32</v>
      </c>
      <c r="L103" s="12">
        <v>1000</v>
      </c>
      <c r="M103" s="13">
        <f t="shared" si="18"/>
        <v>100.3236</v>
      </c>
      <c r="N103" s="38">
        <v>101.44</v>
      </c>
      <c r="O103" s="15">
        <f t="shared" si="19"/>
        <v>1.0111279898249266</v>
      </c>
      <c r="P103" s="16">
        <f t="shared" si="10"/>
        <v>912.96</v>
      </c>
      <c r="Q103" s="17">
        <v>2430</v>
      </c>
      <c r="R103" s="18">
        <v>0</v>
      </c>
      <c r="S103" s="19">
        <f t="shared" si="21"/>
        <v>223.31699999999998</v>
      </c>
      <c r="T103" s="20">
        <f t="shared" si="20"/>
        <v>1303.7706000000001</v>
      </c>
      <c r="U103" s="19">
        <f t="shared" si="12"/>
        <v>1293.723</v>
      </c>
      <c r="V103" s="21">
        <f t="shared" si="13"/>
        <v>1.4170642744479494</v>
      </c>
      <c r="W103" s="22">
        <f t="shared" si="14"/>
        <v>10.047600000000102</v>
      </c>
    </row>
    <row r="104" spans="1:23" x14ac:dyDescent="0.35">
      <c r="A104" s="23">
        <v>3638</v>
      </c>
      <c r="B104" s="9">
        <v>46262</v>
      </c>
      <c r="C104" s="10" t="s">
        <v>118</v>
      </c>
      <c r="D104" s="10" t="s">
        <v>109</v>
      </c>
      <c r="E104" s="10" t="s">
        <v>119</v>
      </c>
      <c r="F104" s="11">
        <v>15</v>
      </c>
      <c r="G104" s="12">
        <v>100</v>
      </c>
      <c r="H104" s="12">
        <v>100</v>
      </c>
      <c r="I104" s="12">
        <f t="shared" si="17"/>
        <v>1.0918000000000001E-2</v>
      </c>
      <c r="J104" s="12">
        <v>3.26</v>
      </c>
      <c r="K104" s="12">
        <v>1.32</v>
      </c>
      <c r="L104" s="12">
        <v>1000</v>
      </c>
      <c r="M104" s="13">
        <f t="shared" si="18"/>
        <v>36.912680000000002</v>
      </c>
      <c r="N104" s="24">
        <v>37.81</v>
      </c>
      <c r="O104" s="15">
        <f t="shared" si="19"/>
        <v>1.024309261749621</v>
      </c>
      <c r="P104" s="16">
        <f t="shared" si="10"/>
        <v>567.15000000000009</v>
      </c>
      <c r="Q104" s="17">
        <v>819</v>
      </c>
      <c r="R104" s="18">
        <v>20</v>
      </c>
      <c r="S104" s="19">
        <f t="shared" si="21"/>
        <v>75.266099999999994</v>
      </c>
      <c r="T104" s="20">
        <f t="shared" si="20"/>
        <v>170.04369999999994</v>
      </c>
      <c r="U104" s="19">
        <f t="shared" si="12"/>
        <v>156.58389999999991</v>
      </c>
      <c r="V104" s="21">
        <f t="shared" si="13"/>
        <v>0.27608904169972653</v>
      </c>
      <c r="W104" s="22">
        <f t="shared" si="14"/>
        <v>13.45980000000003</v>
      </c>
    </row>
    <row r="105" spans="1:23" x14ac:dyDescent="0.35">
      <c r="A105" s="23">
        <v>3638</v>
      </c>
      <c r="B105" s="9"/>
      <c r="C105" s="10" t="s">
        <v>118</v>
      </c>
      <c r="D105" s="10" t="s">
        <v>109</v>
      </c>
      <c r="E105" s="10" t="s">
        <v>120</v>
      </c>
      <c r="F105" s="11">
        <v>15</v>
      </c>
      <c r="G105" s="12">
        <v>100</v>
      </c>
      <c r="H105" s="12">
        <v>100</v>
      </c>
      <c r="I105" s="12">
        <f t="shared" si="17"/>
        <v>1.0918000000000001E-2</v>
      </c>
      <c r="J105" s="12">
        <v>3.26</v>
      </c>
      <c r="K105" s="12">
        <v>1.32</v>
      </c>
      <c r="L105" s="12">
        <v>1000</v>
      </c>
      <c r="M105" s="13">
        <f t="shared" si="18"/>
        <v>36.912680000000002</v>
      </c>
      <c r="N105" s="24">
        <v>37.81</v>
      </c>
      <c r="O105" s="15">
        <f t="shared" si="19"/>
        <v>1.024309261749621</v>
      </c>
      <c r="P105" s="16">
        <f t="shared" si="10"/>
        <v>567.15000000000009</v>
      </c>
      <c r="Q105" s="17">
        <v>819</v>
      </c>
      <c r="R105" s="18">
        <v>20</v>
      </c>
      <c r="S105" s="19">
        <f t="shared" si="21"/>
        <v>75.266099999999994</v>
      </c>
      <c r="T105" s="20">
        <f t="shared" si="20"/>
        <v>170.04369999999994</v>
      </c>
      <c r="U105" s="19">
        <f t="shared" si="12"/>
        <v>156.58389999999991</v>
      </c>
      <c r="V105" s="21">
        <f t="shared" si="13"/>
        <v>0.27608904169972653</v>
      </c>
      <c r="W105" s="22">
        <f t="shared" si="14"/>
        <v>13.45980000000003</v>
      </c>
    </row>
    <row r="106" spans="1:23" x14ac:dyDescent="0.35">
      <c r="A106" s="23">
        <v>3603</v>
      </c>
      <c r="B106" s="9"/>
      <c r="C106" s="10" t="s">
        <v>77</v>
      </c>
      <c r="D106" s="10" t="s">
        <v>109</v>
      </c>
      <c r="E106" s="10" t="s">
        <v>121</v>
      </c>
      <c r="F106" s="11">
        <v>20</v>
      </c>
      <c r="G106" s="12">
        <v>50</v>
      </c>
      <c r="H106" s="12">
        <v>30</v>
      </c>
      <c r="I106" s="12">
        <f t="shared" si="17"/>
        <v>1.848E-3</v>
      </c>
      <c r="J106" s="12">
        <v>4.17</v>
      </c>
      <c r="K106" s="12">
        <v>0.24</v>
      </c>
      <c r="L106" s="12">
        <v>1200</v>
      </c>
      <c r="M106" s="13">
        <f t="shared" si="18"/>
        <v>9.4873919999999998</v>
      </c>
      <c r="N106" s="24">
        <v>10.18</v>
      </c>
      <c r="O106" s="15">
        <f t="shared" si="19"/>
        <v>1.0730029917600117</v>
      </c>
      <c r="P106" s="30">
        <f t="shared" si="10"/>
        <v>203.6</v>
      </c>
      <c r="Q106" s="31">
        <v>391.2</v>
      </c>
      <c r="R106" s="18">
        <v>10</v>
      </c>
      <c r="S106" s="19">
        <f t="shared" si="21"/>
        <v>35.951279999999997</v>
      </c>
      <c r="T106" s="20">
        <f t="shared" si="20"/>
        <v>155.50088</v>
      </c>
      <c r="U106" s="19">
        <f t="shared" si="12"/>
        <v>141.64872</v>
      </c>
      <c r="V106" s="21">
        <f t="shared" si="13"/>
        <v>0.69572062868369355</v>
      </c>
      <c r="W106" s="22">
        <f t="shared" si="14"/>
        <v>13.852159999999998</v>
      </c>
    </row>
    <row r="107" spans="1:23" x14ac:dyDescent="0.35">
      <c r="A107" s="8">
        <v>1179</v>
      </c>
      <c r="B107" s="9">
        <v>46247</v>
      </c>
      <c r="C107" s="10" t="s">
        <v>122</v>
      </c>
      <c r="D107" s="10" t="s">
        <v>109</v>
      </c>
      <c r="E107" s="10" t="s">
        <v>123</v>
      </c>
      <c r="F107" s="11">
        <v>60</v>
      </c>
      <c r="G107" s="12">
        <v>100</v>
      </c>
      <c r="H107" s="12">
        <v>100</v>
      </c>
      <c r="I107" s="12">
        <f t="shared" si="17"/>
        <v>1.0918000000000001E-2</v>
      </c>
      <c r="J107" s="12">
        <v>3.26</v>
      </c>
      <c r="K107" s="12">
        <v>0.34</v>
      </c>
      <c r="L107" s="12">
        <v>340</v>
      </c>
      <c r="M107" s="13">
        <f t="shared" si="18"/>
        <v>12.441511200000001</v>
      </c>
      <c r="N107" s="24">
        <v>12.69</v>
      </c>
      <c r="O107" s="15">
        <f t="shared" si="19"/>
        <v>1.0199725576745049</v>
      </c>
      <c r="P107" s="16">
        <f t="shared" si="10"/>
        <v>761.4</v>
      </c>
      <c r="Q107" s="17">
        <v>1276.8</v>
      </c>
      <c r="R107" s="18">
        <v>0</v>
      </c>
      <c r="S107" s="19">
        <f t="shared" si="21"/>
        <v>117.33792</v>
      </c>
      <c r="T107" s="20">
        <f t="shared" si="20"/>
        <v>412.97140799999988</v>
      </c>
      <c r="U107" s="19">
        <f t="shared" si="12"/>
        <v>398.06207999999998</v>
      </c>
      <c r="V107" s="21">
        <f t="shared" si="13"/>
        <v>0.52280283687943263</v>
      </c>
      <c r="W107" s="22">
        <f t="shared" si="14"/>
        <v>14.909327999999903</v>
      </c>
    </row>
    <row r="108" spans="1:23" x14ac:dyDescent="0.35">
      <c r="A108" s="8">
        <v>1179</v>
      </c>
      <c r="B108" s="9"/>
      <c r="C108" s="10" t="s">
        <v>122</v>
      </c>
      <c r="D108" s="10" t="s">
        <v>109</v>
      </c>
      <c r="E108" s="10" t="s">
        <v>124</v>
      </c>
      <c r="F108" s="11">
        <v>60</v>
      </c>
      <c r="G108" s="12">
        <v>100</v>
      </c>
      <c r="H108" s="12">
        <v>100</v>
      </c>
      <c r="I108" s="12">
        <f t="shared" si="17"/>
        <v>1.0918000000000001E-2</v>
      </c>
      <c r="J108" s="12">
        <v>3.26</v>
      </c>
      <c r="K108" s="12">
        <v>0.34</v>
      </c>
      <c r="L108" s="12">
        <v>340</v>
      </c>
      <c r="M108" s="13">
        <f t="shared" si="18"/>
        <v>12.441511200000001</v>
      </c>
      <c r="N108" s="24">
        <v>12.69</v>
      </c>
      <c r="O108" s="15">
        <f t="shared" si="19"/>
        <v>1.0199725576745049</v>
      </c>
      <c r="P108" s="16">
        <f t="shared" si="10"/>
        <v>761.4</v>
      </c>
      <c r="Q108" s="17">
        <v>1276.8</v>
      </c>
      <c r="R108" s="18">
        <v>0</v>
      </c>
      <c r="S108" s="19">
        <f t="shared" si="21"/>
        <v>117.33792</v>
      </c>
      <c r="T108" s="20">
        <f t="shared" si="20"/>
        <v>412.97140799999988</v>
      </c>
      <c r="U108" s="19">
        <f t="shared" si="12"/>
        <v>398.06207999999998</v>
      </c>
      <c r="V108" s="21">
        <f t="shared" si="13"/>
        <v>0.52280283687943263</v>
      </c>
      <c r="W108" s="22">
        <f t="shared" si="14"/>
        <v>14.909327999999903</v>
      </c>
    </row>
    <row r="109" spans="1:23" x14ac:dyDescent="0.35">
      <c r="A109" s="8">
        <v>1179</v>
      </c>
      <c r="B109" s="9"/>
      <c r="C109" s="10" t="s">
        <v>122</v>
      </c>
      <c r="D109" s="10" t="s">
        <v>109</v>
      </c>
      <c r="E109" s="10" t="s">
        <v>125</v>
      </c>
      <c r="F109" s="11">
        <v>60</v>
      </c>
      <c r="G109" s="12">
        <v>100</v>
      </c>
      <c r="H109" s="12">
        <v>100</v>
      </c>
      <c r="I109" s="12">
        <f t="shared" si="17"/>
        <v>1.0918000000000001E-2</v>
      </c>
      <c r="J109" s="12">
        <v>3.26</v>
      </c>
      <c r="K109" s="12">
        <v>0.34</v>
      </c>
      <c r="L109" s="12">
        <v>340</v>
      </c>
      <c r="M109" s="13">
        <f t="shared" si="18"/>
        <v>12.441511200000001</v>
      </c>
      <c r="N109" s="24">
        <v>12.69</v>
      </c>
      <c r="O109" s="15">
        <f t="shared" si="19"/>
        <v>1.0199725576745049</v>
      </c>
      <c r="P109" s="16">
        <f t="shared" si="10"/>
        <v>761.4</v>
      </c>
      <c r="Q109" s="17">
        <v>1276.8</v>
      </c>
      <c r="R109" s="18">
        <v>0</v>
      </c>
      <c r="S109" s="19">
        <f t="shared" si="21"/>
        <v>117.33792</v>
      </c>
      <c r="T109" s="20">
        <f t="shared" si="20"/>
        <v>412.97140799999988</v>
      </c>
      <c r="U109" s="19">
        <f t="shared" si="12"/>
        <v>398.06207999999998</v>
      </c>
      <c r="V109" s="21">
        <f t="shared" si="13"/>
        <v>0.52280283687943263</v>
      </c>
      <c r="W109" s="22">
        <f t="shared" si="14"/>
        <v>14.909327999999903</v>
      </c>
    </row>
    <row r="110" spans="1:23" x14ac:dyDescent="0.35">
      <c r="A110" s="8">
        <v>1168</v>
      </c>
      <c r="B110" s="9">
        <v>46238</v>
      </c>
      <c r="C110" s="10" t="s">
        <v>126</v>
      </c>
      <c r="D110" s="10" t="s">
        <v>21</v>
      </c>
      <c r="E110" s="10" t="s">
        <v>127</v>
      </c>
      <c r="F110" s="11">
        <v>80</v>
      </c>
      <c r="G110" s="12">
        <v>100</v>
      </c>
      <c r="H110" s="12">
        <v>75</v>
      </c>
      <c r="I110" s="12">
        <f t="shared" si="17"/>
        <v>8.2679999999999993E-3</v>
      </c>
      <c r="J110" s="12">
        <v>3.26</v>
      </c>
      <c r="K110" s="12">
        <v>0.34</v>
      </c>
      <c r="L110" s="12">
        <v>1000</v>
      </c>
      <c r="M110" s="13">
        <f t="shared" si="18"/>
        <v>27.293679999999998</v>
      </c>
      <c r="N110" s="24">
        <v>27.53</v>
      </c>
      <c r="O110" s="15">
        <f t="shared" si="19"/>
        <v>1.0086584146952702</v>
      </c>
      <c r="P110" s="16">
        <f t="shared" si="10"/>
        <v>2202.4</v>
      </c>
      <c r="Q110" s="17">
        <v>3154.6</v>
      </c>
      <c r="R110" s="18">
        <v>191</v>
      </c>
      <c r="S110" s="19">
        <f t="shared" si="21"/>
        <v>289.90773999999999</v>
      </c>
      <c r="T110" s="20">
        <f t="shared" si="20"/>
        <v>490.19785999999976</v>
      </c>
      <c r="U110" s="19">
        <f t="shared" si="12"/>
        <v>471.29225999999983</v>
      </c>
      <c r="V110" s="21">
        <f t="shared" si="13"/>
        <v>0.21399031057028686</v>
      </c>
      <c r="W110" s="22">
        <f t="shared" si="14"/>
        <v>18.905599999999936</v>
      </c>
    </row>
    <row r="111" spans="1:23" x14ac:dyDescent="0.35">
      <c r="A111" s="8">
        <v>1204</v>
      </c>
      <c r="B111" s="9">
        <v>46265</v>
      </c>
      <c r="C111" s="10" t="s">
        <v>103</v>
      </c>
      <c r="D111" s="10" t="s">
        <v>21</v>
      </c>
      <c r="E111" s="10" t="s">
        <v>104</v>
      </c>
      <c r="F111" s="11">
        <v>40</v>
      </c>
      <c r="G111" s="12">
        <v>100</v>
      </c>
      <c r="H111" s="12">
        <v>80</v>
      </c>
      <c r="I111" s="12">
        <f t="shared" si="17"/>
        <v>8.7980000000000003E-3</v>
      </c>
      <c r="J111" s="12">
        <v>4.17</v>
      </c>
      <c r="K111" s="12">
        <v>0.34</v>
      </c>
      <c r="L111" s="12">
        <v>470</v>
      </c>
      <c r="M111" s="13">
        <f t="shared" si="18"/>
        <v>17.5832002</v>
      </c>
      <c r="N111" s="24">
        <v>18.11</v>
      </c>
      <c r="O111" s="24">
        <f t="shared" si="19"/>
        <v>1.0299604050461757</v>
      </c>
      <c r="P111" s="16">
        <f t="shared" si="10"/>
        <v>724.4</v>
      </c>
      <c r="Q111" s="29">
        <v>1298.4000000000001</v>
      </c>
      <c r="R111" s="35"/>
      <c r="S111" s="19">
        <f t="shared" si="21"/>
        <v>119.32296000000001</v>
      </c>
      <c r="T111" s="20">
        <f t="shared" si="20"/>
        <v>475.74903200000017</v>
      </c>
      <c r="U111" s="19">
        <f t="shared" si="12"/>
        <v>454.67704000000009</v>
      </c>
      <c r="V111" s="21">
        <f t="shared" si="13"/>
        <v>0.62766018774157939</v>
      </c>
      <c r="W111" s="22">
        <f t="shared" si="14"/>
        <v>21.07199200000008</v>
      </c>
    </row>
    <row r="112" spans="1:23" x14ac:dyDescent="0.35">
      <c r="A112" s="8">
        <v>1179</v>
      </c>
      <c r="B112" s="9"/>
      <c r="C112" s="10" t="s">
        <v>122</v>
      </c>
      <c r="D112" s="10" t="s">
        <v>109</v>
      </c>
      <c r="E112" s="10" t="s">
        <v>128</v>
      </c>
      <c r="F112" s="11">
        <v>90</v>
      </c>
      <c r="G112" s="12">
        <v>100</v>
      </c>
      <c r="H112" s="12">
        <v>100</v>
      </c>
      <c r="I112" s="12">
        <f t="shared" si="17"/>
        <v>1.0918000000000001E-2</v>
      </c>
      <c r="J112" s="12">
        <v>3.26</v>
      </c>
      <c r="K112" s="12">
        <v>0.34</v>
      </c>
      <c r="L112" s="12">
        <v>340</v>
      </c>
      <c r="M112" s="13">
        <f t="shared" si="18"/>
        <v>12.441511200000001</v>
      </c>
      <c r="N112" s="24">
        <v>12.69</v>
      </c>
      <c r="O112" s="15">
        <f t="shared" si="19"/>
        <v>1.0199725576745049</v>
      </c>
      <c r="P112" s="16">
        <f t="shared" si="10"/>
        <v>1142.0999999999999</v>
      </c>
      <c r="Q112" s="17">
        <v>1915.2</v>
      </c>
      <c r="R112" s="18">
        <v>0</v>
      </c>
      <c r="S112" s="19">
        <f t="shared" si="21"/>
        <v>176.00688</v>
      </c>
      <c r="T112" s="20">
        <f t="shared" si="20"/>
        <v>619.45711200000005</v>
      </c>
      <c r="U112" s="19">
        <f t="shared" si="12"/>
        <v>597.09312000000011</v>
      </c>
      <c r="V112" s="21">
        <f t="shared" si="13"/>
        <v>0.52280283687943274</v>
      </c>
      <c r="W112" s="22">
        <f t="shared" si="14"/>
        <v>22.363991999999939</v>
      </c>
    </row>
    <row r="113" spans="1:24" x14ac:dyDescent="0.35">
      <c r="A113" s="23">
        <v>3643</v>
      </c>
      <c r="B113" s="9"/>
      <c r="C113" s="10" t="s">
        <v>37</v>
      </c>
      <c r="D113" s="10" t="s">
        <v>21</v>
      </c>
      <c r="E113" s="33" t="s">
        <v>129</v>
      </c>
      <c r="F113" s="11">
        <v>18</v>
      </c>
      <c r="G113" s="12">
        <v>210</v>
      </c>
      <c r="H113" s="12">
        <v>100</v>
      </c>
      <c r="I113" s="12">
        <f t="shared" si="17"/>
        <v>2.2248E-2</v>
      </c>
      <c r="J113" s="12">
        <v>4.45</v>
      </c>
      <c r="K113" s="12">
        <v>1.32</v>
      </c>
      <c r="L113" s="12">
        <v>1000</v>
      </c>
      <c r="M113" s="13">
        <f t="shared" si="18"/>
        <v>100.3236</v>
      </c>
      <c r="N113" s="25">
        <v>101.71</v>
      </c>
      <c r="O113" s="15">
        <f t="shared" si="19"/>
        <v>1.0138192808073074</v>
      </c>
      <c r="P113" s="16">
        <f t="shared" si="10"/>
        <v>1830.78</v>
      </c>
      <c r="Q113" s="29">
        <v>4860</v>
      </c>
      <c r="R113" s="18">
        <v>0</v>
      </c>
      <c r="S113" s="19">
        <f>Q113*0.09</f>
        <v>437.4</v>
      </c>
      <c r="T113" s="20">
        <f t="shared" si="20"/>
        <v>2616.7752</v>
      </c>
      <c r="U113" s="19">
        <f t="shared" si="12"/>
        <v>2591.8200000000002</v>
      </c>
      <c r="V113" s="21">
        <f t="shared" si="13"/>
        <v>1.4156916724019271</v>
      </c>
      <c r="W113" s="22">
        <f t="shared" si="14"/>
        <v>24.955199999999877</v>
      </c>
    </row>
    <row r="114" spans="1:24" x14ac:dyDescent="0.35">
      <c r="A114" s="8">
        <v>1186</v>
      </c>
      <c r="B114" s="9">
        <v>46252</v>
      </c>
      <c r="C114" s="10" t="s">
        <v>130</v>
      </c>
      <c r="D114" s="10" t="s">
        <v>21</v>
      </c>
      <c r="E114" s="10" t="s">
        <v>131</v>
      </c>
      <c r="F114" s="11">
        <v>80</v>
      </c>
      <c r="G114" s="12">
        <v>100</v>
      </c>
      <c r="H114" s="12">
        <v>80</v>
      </c>
      <c r="I114" s="12">
        <f t="shared" si="17"/>
        <v>8.7980000000000003E-3</v>
      </c>
      <c r="J114" s="12">
        <v>3.26</v>
      </c>
      <c r="K114" s="12">
        <v>1.32</v>
      </c>
      <c r="L114" s="12">
        <v>1000</v>
      </c>
      <c r="M114" s="13">
        <f t="shared" si="18"/>
        <v>30.001480000000001</v>
      </c>
      <c r="N114" s="24">
        <v>30.35</v>
      </c>
      <c r="O114" s="15">
        <f t="shared" si="19"/>
        <v>1.0116167602398283</v>
      </c>
      <c r="P114" s="16">
        <f t="shared" si="10"/>
        <v>2428</v>
      </c>
      <c r="Q114" s="17">
        <v>3080</v>
      </c>
      <c r="R114" s="18">
        <v>60</v>
      </c>
      <c r="S114" s="19">
        <f t="shared" ref="S114:S130" si="22">Q114*0.0919</f>
        <v>283.05199999999996</v>
      </c>
      <c r="T114" s="20">
        <f t="shared" si="20"/>
        <v>336.82959999999957</v>
      </c>
      <c r="U114" s="19">
        <f t="shared" si="12"/>
        <v>308.94800000000004</v>
      </c>
      <c r="V114" s="21">
        <f t="shared" si="13"/>
        <v>0.12724382207578255</v>
      </c>
      <c r="W114" s="22">
        <f t="shared" si="14"/>
        <v>27.881599999999537</v>
      </c>
    </row>
    <row r="115" spans="1:24" x14ac:dyDescent="0.35">
      <c r="A115" s="23">
        <v>3615</v>
      </c>
      <c r="B115" s="9">
        <v>46246</v>
      </c>
      <c r="C115" s="10" t="s">
        <v>70</v>
      </c>
      <c r="D115" s="10" t="s">
        <v>21</v>
      </c>
      <c r="E115" s="10" t="s">
        <v>132</v>
      </c>
      <c r="F115" s="11">
        <v>60</v>
      </c>
      <c r="G115" s="12">
        <v>100</v>
      </c>
      <c r="H115" s="12">
        <v>90</v>
      </c>
      <c r="I115" s="12">
        <f t="shared" si="17"/>
        <v>9.8580000000000004E-3</v>
      </c>
      <c r="J115" s="12">
        <v>4.17</v>
      </c>
      <c r="K115" s="12">
        <v>1.32</v>
      </c>
      <c r="L115" s="12">
        <v>1000</v>
      </c>
      <c r="M115" s="13">
        <f t="shared" si="18"/>
        <v>42.427860000000003</v>
      </c>
      <c r="N115" s="24">
        <v>42.93</v>
      </c>
      <c r="O115" s="15">
        <f t="shared" si="19"/>
        <v>1.0118351479428846</v>
      </c>
      <c r="P115" s="16">
        <f t="shared" si="10"/>
        <v>2575.8000000000002</v>
      </c>
      <c r="Q115" s="17">
        <v>4993.2</v>
      </c>
      <c r="R115" s="18">
        <v>220</v>
      </c>
      <c r="S115" s="19">
        <f t="shared" si="22"/>
        <v>458.87507999999997</v>
      </c>
      <c r="T115" s="20">
        <f t="shared" si="20"/>
        <v>1768.6533199999999</v>
      </c>
      <c r="U115" s="19">
        <f t="shared" si="12"/>
        <v>1738.5249199999996</v>
      </c>
      <c r="V115" s="21">
        <f t="shared" si="13"/>
        <v>0.67494561689572152</v>
      </c>
      <c r="W115" s="22">
        <f t="shared" si="14"/>
        <v>30.128400000000283</v>
      </c>
    </row>
    <row r="116" spans="1:24" x14ac:dyDescent="0.35">
      <c r="A116" s="8">
        <v>1197</v>
      </c>
      <c r="B116" s="9"/>
      <c r="C116" s="10" t="s">
        <v>26</v>
      </c>
      <c r="D116" s="10" t="s">
        <v>21</v>
      </c>
      <c r="E116" s="10" t="s">
        <v>133</v>
      </c>
      <c r="F116" s="11">
        <v>24</v>
      </c>
      <c r="G116" s="12">
        <v>50</v>
      </c>
      <c r="H116" s="12">
        <v>235</v>
      </c>
      <c r="I116" s="12">
        <f t="shared" si="17"/>
        <v>1.3328E-2</v>
      </c>
      <c r="J116" s="12">
        <v>4.45</v>
      </c>
      <c r="K116" s="12">
        <v>0.24</v>
      </c>
      <c r="L116" s="12">
        <v>500</v>
      </c>
      <c r="M116" s="13">
        <f t="shared" si="18"/>
        <v>29.894799999999996</v>
      </c>
      <c r="N116" s="24">
        <v>31.41</v>
      </c>
      <c r="O116" s="15">
        <f t="shared" si="19"/>
        <v>1.0506843999625355</v>
      </c>
      <c r="P116" s="16">
        <f t="shared" si="10"/>
        <v>753.84</v>
      </c>
      <c r="Q116" s="29">
        <v>1053.5999999999999</v>
      </c>
      <c r="R116" s="18">
        <v>0</v>
      </c>
      <c r="S116" s="19">
        <f t="shared" si="22"/>
        <v>96.825839999999985</v>
      </c>
      <c r="T116" s="20">
        <f t="shared" si="20"/>
        <v>239.29896000000008</v>
      </c>
      <c r="U116" s="19">
        <f t="shared" si="12"/>
        <v>202.93415999999991</v>
      </c>
      <c r="V116" s="21">
        <f t="shared" si="13"/>
        <v>0.26920057306590245</v>
      </c>
      <c r="W116" s="22">
        <f t="shared" si="14"/>
        <v>36.364800000000173</v>
      </c>
    </row>
    <row r="117" spans="1:24" x14ac:dyDescent="0.35">
      <c r="A117" s="23">
        <v>3610</v>
      </c>
      <c r="B117" s="9"/>
      <c r="C117" s="10" t="s">
        <v>62</v>
      </c>
      <c r="D117" s="10" t="s">
        <v>21</v>
      </c>
      <c r="E117" s="10" t="s">
        <v>134</v>
      </c>
      <c r="F117" s="11">
        <v>50</v>
      </c>
      <c r="G117" s="12">
        <v>51</v>
      </c>
      <c r="H117" s="12">
        <v>51</v>
      </c>
      <c r="I117" s="12">
        <f t="shared" si="17"/>
        <v>3.078E-3</v>
      </c>
      <c r="J117" s="12">
        <v>3.26</v>
      </c>
      <c r="K117" s="12">
        <v>0.24</v>
      </c>
      <c r="L117" s="12">
        <v>4000</v>
      </c>
      <c r="M117" s="13">
        <f t="shared" si="18"/>
        <v>40.377119999999998</v>
      </c>
      <c r="N117" s="24">
        <v>41.11</v>
      </c>
      <c r="O117" s="15">
        <f t="shared" si="19"/>
        <v>1.0181508735640383</v>
      </c>
      <c r="P117" s="16">
        <f t="shared" si="10"/>
        <v>2055.5</v>
      </c>
      <c r="Q117" s="17">
        <v>2964</v>
      </c>
      <c r="R117" s="18">
        <v>60</v>
      </c>
      <c r="S117" s="19">
        <f t="shared" si="22"/>
        <v>272.39159999999998</v>
      </c>
      <c r="T117" s="20">
        <f t="shared" si="20"/>
        <v>612.75240000000031</v>
      </c>
      <c r="U117" s="19">
        <f t="shared" si="12"/>
        <v>576.10840000000007</v>
      </c>
      <c r="V117" s="21">
        <f t="shared" si="13"/>
        <v>0.28027652639260525</v>
      </c>
      <c r="W117" s="22">
        <f t="shared" si="14"/>
        <v>36.644000000000233</v>
      </c>
    </row>
    <row r="118" spans="1:24" x14ac:dyDescent="0.35">
      <c r="A118" s="23">
        <v>3612</v>
      </c>
      <c r="B118" s="9">
        <v>46245</v>
      </c>
      <c r="C118" s="10" t="s">
        <v>24</v>
      </c>
      <c r="D118" s="10" t="s">
        <v>21</v>
      </c>
      <c r="E118" s="10" t="s">
        <v>135</v>
      </c>
      <c r="F118" s="11">
        <v>40</v>
      </c>
      <c r="G118" s="12">
        <v>100</v>
      </c>
      <c r="H118" s="12">
        <v>40</v>
      </c>
      <c r="I118" s="12">
        <f t="shared" si="17"/>
        <v>4.5580000000000004E-3</v>
      </c>
      <c r="J118" s="12">
        <v>4.45</v>
      </c>
      <c r="K118" s="12">
        <v>0.34</v>
      </c>
      <c r="L118" s="12">
        <v>1000</v>
      </c>
      <c r="M118" s="13">
        <f t="shared" si="18"/>
        <v>20.623100000000001</v>
      </c>
      <c r="N118" s="24">
        <v>21.56</v>
      </c>
      <c r="O118" s="15">
        <f t="shared" si="19"/>
        <v>1.0454296395789187</v>
      </c>
      <c r="P118" s="16">
        <f t="shared" si="10"/>
        <v>862.4</v>
      </c>
      <c r="Q118" s="17">
        <v>1319.6</v>
      </c>
      <c r="R118" s="18">
        <v>70</v>
      </c>
      <c r="S118" s="19">
        <f t="shared" si="22"/>
        <v>121.27123999999999</v>
      </c>
      <c r="T118" s="20">
        <f t="shared" si="20"/>
        <v>303.4047599999999</v>
      </c>
      <c r="U118" s="19">
        <f t="shared" si="12"/>
        <v>265.92875999999995</v>
      </c>
      <c r="V118" s="21">
        <f t="shared" si="13"/>
        <v>0.30835895176252315</v>
      </c>
      <c r="W118" s="22">
        <f t="shared" si="14"/>
        <v>37.475999999999942</v>
      </c>
    </row>
    <row r="119" spans="1:24" x14ac:dyDescent="0.35">
      <c r="A119" s="23">
        <v>3632</v>
      </c>
      <c r="B119" s="9">
        <v>46253</v>
      </c>
      <c r="C119" s="10" t="s">
        <v>136</v>
      </c>
      <c r="D119" s="10" t="s">
        <v>21</v>
      </c>
      <c r="E119" s="10" t="s">
        <v>137</v>
      </c>
      <c r="F119" s="11">
        <v>60</v>
      </c>
      <c r="G119" s="12">
        <v>100</v>
      </c>
      <c r="H119" s="12">
        <v>75</v>
      </c>
      <c r="I119" s="12">
        <f t="shared" si="17"/>
        <v>8.2679999999999993E-3</v>
      </c>
      <c r="J119" s="12">
        <v>3.26</v>
      </c>
      <c r="K119" s="12">
        <v>0.46</v>
      </c>
      <c r="L119" s="12">
        <v>2280</v>
      </c>
      <c r="M119" s="13">
        <f t="shared" si="18"/>
        <v>61.914390399999995</v>
      </c>
      <c r="N119" s="24">
        <v>62.58</v>
      </c>
      <c r="O119" s="15">
        <f t="shared" si="19"/>
        <v>1.0107504829765714</v>
      </c>
      <c r="P119" s="16">
        <f t="shared" si="10"/>
        <v>3754.7999999999997</v>
      </c>
      <c r="Q119" s="17">
        <v>5531.8</v>
      </c>
      <c r="R119" s="18">
        <v>329.39</v>
      </c>
      <c r="S119" s="19">
        <f t="shared" si="22"/>
        <v>508.37241999999998</v>
      </c>
      <c r="T119" s="20">
        <f t="shared" si="20"/>
        <v>979.17415600000095</v>
      </c>
      <c r="U119" s="19">
        <f t="shared" si="12"/>
        <v>939.23758000000066</v>
      </c>
      <c r="V119" s="21">
        <f t="shared" si="13"/>
        <v>0.25014317140726555</v>
      </c>
      <c r="W119" s="22">
        <f t="shared" si="14"/>
        <v>39.936576000000287</v>
      </c>
    </row>
    <row r="120" spans="1:24" x14ac:dyDescent="0.35">
      <c r="A120" s="23">
        <v>3610</v>
      </c>
      <c r="B120" s="9">
        <v>46245</v>
      </c>
      <c r="C120" s="10" t="s">
        <v>62</v>
      </c>
      <c r="D120" s="10" t="s">
        <v>21</v>
      </c>
      <c r="E120" s="10" t="s">
        <v>137</v>
      </c>
      <c r="F120" s="11">
        <v>50</v>
      </c>
      <c r="G120" s="12">
        <v>100</v>
      </c>
      <c r="H120" s="12">
        <v>75</v>
      </c>
      <c r="I120" s="12">
        <f t="shared" si="17"/>
        <v>8.2679999999999993E-3</v>
      </c>
      <c r="J120" s="12">
        <v>3.26</v>
      </c>
      <c r="K120" s="12">
        <v>0.46</v>
      </c>
      <c r="L120" s="12">
        <v>2280</v>
      </c>
      <c r="M120" s="13">
        <f t="shared" si="18"/>
        <v>61.914390399999995</v>
      </c>
      <c r="N120" s="24">
        <v>62.75</v>
      </c>
      <c r="O120" s="15">
        <f t="shared" si="19"/>
        <v>1.0134962097599851</v>
      </c>
      <c r="P120" s="16">
        <f t="shared" si="10"/>
        <v>3137.5</v>
      </c>
      <c r="Q120" s="17">
        <v>4401.5</v>
      </c>
      <c r="R120" s="18">
        <v>60</v>
      </c>
      <c r="S120" s="19">
        <f t="shared" si="22"/>
        <v>404.49784999999997</v>
      </c>
      <c r="T120" s="20">
        <f t="shared" si="20"/>
        <v>841.28263000000061</v>
      </c>
      <c r="U120" s="19">
        <f t="shared" si="12"/>
        <v>799.50215000000003</v>
      </c>
      <c r="V120" s="21">
        <f t="shared" si="13"/>
        <v>0.25482140239043827</v>
      </c>
      <c r="W120" s="22">
        <f t="shared" si="14"/>
        <v>41.78048000000058</v>
      </c>
    </row>
    <row r="121" spans="1:24" x14ac:dyDescent="0.35">
      <c r="A121" s="23">
        <v>3640</v>
      </c>
      <c r="B121" s="9"/>
      <c r="C121" s="10" t="s">
        <v>138</v>
      </c>
      <c r="D121" s="10" t="s">
        <v>21</v>
      </c>
      <c r="E121" s="10" t="s">
        <v>139</v>
      </c>
      <c r="F121" s="11">
        <v>100</v>
      </c>
      <c r="G121" s="12">
        <v>50</v>
      </c>
      <c r="H121" s="12">
        <v>30</v>
      </c>
      <c r="I121" s="12">
        <f t="shared" si="17"/>
        <v>1.848E-3</v>
      </c>
      <c r="J121" s="12">
        <v>4.17</v>
      </c>
      <c r="K121" s="12">
        <v>0.24</v>
      </c>
      <c r="L121" s="12">
        <v>1200</v>
      </c>
      <c r="M121" s="13">
        <f t="shared" si="18"/>
        <v>9.4873919999999998</v>
      </c>
      <c r="N121" s="24">
        <v>10.15</v>
      </c>
      <c r="O121" s="15">
        <f t="shared" si="19"/>
        <v>1.0698409004286953</v>
      </c>
      <c r="P121" s="16">
        <f t="shared" si="10"/>
        <v>1015</v>
      </c>
      <c r="Q121" s="17">
        <v>1956</v>
      </c>
      <c r="R121" s="18">
        <v>50</v>
      </c>
      <c r="S121" s="19">
        <f t="shared" si="22"/>
        <v>179.75639999999999</v>
      </c>
      <c r="T121" s="20">
        <f t="shared" si="20"/>
        <v>777.50440000000003</v>
      </c>
      <c r="U121" s="19">
        <f t="shared" si="12"/>
        <v>711.24360000000001</v>
      </c>
      <c r="V121" s="21">
        <f t="shared" si="13"/>
        <v>0.70073261083743843</v>
      </c>
      <c r="W121" s="22">
        <f t="shared" si="14"/>
        <v>66.260800000000017</v>
      </c>
    </row>
    <row r="122" spans="1:24" x14ac:dyDescent="0.35">
      <c r="A122" s="23">
        <v>3640</v>
      </c>
      <c r="B122" s="9"/>
      <c r="C122" s="10" t="s">
        <v>138</v>
      </c>
      <c r="D122" s="10" t="s">
        <v>109</v>
      </c>
      <c r="E122" s="10" t="s">
        <v>140</v>
      </c>
      <c r="F122" s="11">
        <v>104</v>
      </c>
      <c r="G122" s="12">
        <v>50</v>
      </c>
      <c r="H122" s="12">
        <v>30</v>
      </c>
      <c r="I122" s="12">
        <f t="shared" si="17"/>
        <v>1.848E-3</v>
      </c>
      <c r="J122" s="12">
        <v>4.17</v>
      </c>
      <c r="K122" s="12">
        <v>0.24</v>
      </c>
      <c r="L122" s="12">
        <v>1200</v>
      </c>
      <c r="M122" s="13">
        <f t="shared" si="18"/>
        <v>9.4873919999999998</v>
      </c>
      <c r="N122" s="24">
        <v>10.15</v>
      </c>
      <c r="O122" s="15">
        <f t="shared" si="19"/>
        <v>1.0698409004286953</v>
      </c>
      <c r="P122" s="16">
        <f t="shared" si="10"/>
        <v>1055.6000000000001</v>
      </c>
      <c r="Q122" s="17">
        <v>2740.4</v>
      </c>
      <c r="R122" s="18">
        <v>50</v>
      </c>
      <c r="S122" s="19">
        <f t="shared" si="22"/>
        <v>251.84276</v>
      </c>
      <c r="T122" s="20">
        <f t="shared" si="20"/>
        <v>1451.8684720000001</v>
      </c>
      <c r="U122" s="19">
        <f t="shared" si="12"/>
        <v>1382.95724</v>
      </c>
      <c r="V122" s="21">
        <f t="shared" si="13"/>
        <v>1.3101148541114056</v>
      </c>
      <c r="W122" s="22">
        <f t="shared" si="14"/>
        <v>68.911232000000155</v>
      </c>
    </row>
    <row r="123" spans="1:24" x14ac:dyDescent="0.35">
      <c r="A123" s="23">
        <v>3603</v>
      </c>
      <c r="B123" s="9">
        <v>46240</v>
      </c>
      <c r="C123" s="10" t="s">
        <v>77</v>
      </c>
      <c r="D123" s="10" t="s">
        <v>21</v>
      </c>
      <c r="E123" s="10" t="s">
        <v>139</v>
      </c>
      <c r="F123" s="11">
        <v>140</v>
      </c>
      <c r="G123" s="12">
        <v>50</v>
      </c>
      <c r="H123" s="12">
        <v>30</v>
      </c>
      <c r="I123" s="12">
        <f t="shared" si="17"/>
        <v>1.848E-3</v>
      </c>
      <c r="J123" s="12">
        <v>4.17</v>
      </c>
      <c r="K123" s="12">
        <v>0.24</v>
      </c>
      <c r="L123" s="12">
        <v>1200</v>
      </c>
      <c r="M123" s="13">
        <f t="shared" si="18"/>
        <v>9.4873919999999998</v>
      </c>
      <c r="N123" s="24">
        <v>10.039999999999999</v>
      </c>
      <c r="O123" s="15">
        <f t="shared" si="19"/>
        <v>1.058246565547202</v>
      </c>
      <c r="P123" s="30">
        <f t="shared" si="10"/>
        <v>1405.6</v>
      </c>
      <c r="Q123" s="31">
        <v>2738.4</v>
      </c>
      <c r="R123" s="18">
        <v>100</v>
      </c>
      <c r="S123" s="19">
        <f t="shared" si="22"/>
        <v>251.65896000000001</v>
      </c>
      <c r="T123" s="20">
        <f t="shared" si="20"/>
        <v>1058.5061600000001</v>
      </c>
      <c r="U123" s="19">
        <f t="shared" si="12"/>
        <v>981.1410400000002</v>
      </c>
      <c r="V123" s="21">
        <f t="shared" si="13"/>
        <v>0.69802293682413219</v>
      </c>
      <c r="W123" s="22">
        <f t="shared" si="14"/>
        <v>77.365119999999933</v>
      </c>
    </row>
    <row r="124" spans="1:24" x14ac:dyDescent="0.35">
      <c r="A124" s="8">
        <v>1172</v>
      </c>
      <c r="B124" s="9">
        <v>46244</v>
      </c>
      <c r="C124" s="10" t="s">
        <v>81</v>
      </c>
      <c r="D124" s="10" t="s">
        <v>109</v>
      </c>
      <c r="E124" s="10" t="s">
        <v>141</v>
      </c>
      <c r="F124" s="11">
        <v>200</v>
      </c>
      <c r="G124" s="12">
        <v>100</v>
      </c>
      <c r="H124" s="12">
        <v>80</v>
      </c>
      <c r="I124" s="12">
        <f t="shared" si="17"/>
        <v>8.7980000000000003E-3</v>
      </c>
      <c r="J124" s="12">
        <v>3.26</v>
      </c>
      <c r="K124" s="12">
        <v>1.32</v>
      </c>
      <c r="L124" s="12">
        <v>1500</v>
      </c>
      <c r="M124" s="13">
        <f t="shared" si="18"/>
        <v>44.342219999999998</v>
      </c>
      <c r="N124" s="24">
        <v>44.73</v>
      </c>
      <c r="O124" s="15">
        <f t="shared" si="19"/>
        <v>1.008745164315183</v>
      </c>
      <c r="P124" s="16">
        <f t="shared" si="10"/>
        <v>8946</v>
      </c>
      <c r="Q124" s="17">
        <v>10980</v>
      </c>
      <c r="R124" s="18">
        <v>170</v>
      </c>
      <c r="S124" s="19">
        <f t="shared" si="22"/>
        <v>1009.0619999999999</v>
      </c>
      <c r="T124" s="20">
        <f t="shared" si="20"/>
        <v>932.4940000000006</v>
      </c>
      <c r="U124" s="19">
        <f t="shared" si="12"/>
        <v>854.9380000000001</v>
      </c>
      <c r="V124" s="21">
        <f t="shared" si="13"/>
        <v>9.5566510172143987E-2</v>
      </c>
      <c r="W124" s="22">
        <f t="shared" si="14"/>
        <v>77.556000000000495</v>
      </c>
    </row>
    <row r="125" spans="1:24" x14ac:dyDescent="0.35">
      <c r="A125" s="8">
        <v>1197</v>
      </c>
      <c r="B125" s="9"/>
      <c r="C125" s="10" t="s">
        <v>26</v>
      </c>
      <c r="D125" s="10" t="s">
        <v>21</v>
      </c>
      <c r="E125" s="10" t="s">
        <v>142</v>
      </c>
      <c r="F125" s="11">
        <v>48</v>
      </c>
      <c r="G125" s="12">
        <v>50</v>
      </c>
      <c r="H125" s="12">
        <v>200</v>
      </c>
      <c r="I125" s="12">
        <f t="shared" si="17"/>
        <v>1.1368E-2</v>
      </c>
      <c r="J125" s="12">
        <v>4.45</v>
      </c>
      <c r="K125" s="12">
        <v>0.24</v>
      </c>
      <c r="L125" s="12">
        <v>1000</v>
      </c>
      <c r="M125" s="13">
        <f t="shared" si="18"/>
        <v>50.827600000000004</v>
      </c>
      <c r="N125" s="24">
        <v>52.58</v>
      </c>
      <c r="O125" s="24">
        <f t="shared" si="19"/>
        <v>1.0344773312137499</v>
      </c>
      <c r="P125" s="16">
        <f t="shared" si="10"/>
        <v>2523.84</v>
      </c>
      <c r="Q125" s="29">
        <v>3551.52</v>
      </c>
      <c r="R125" s="18">
        <v>0</v>
      </c>
      <c r="S125" s="19">
        <f t="shared" si="22"/>
        <v>326.38468799999998</v>
      </c>
      <c r="T125" s="20">
        <f t="shared" si="20"/>
        <v>785.41051199999993</v>
      </c>
      <c r="U125" s="19">
        <f t="shared" si="12"/>
        <v>701.29531199999985</v>
      </c>
      <c r="V125" s="21">
        <f t="shared" si="13"/>
        <v>0.27786837200456438</v>
      </c>
      <c r="W125" s="22">
        <f t="shared" si="14"/>
        <v>84.115200000000073</v>
      </c>
    </row>
    <row r="126" spans="1:24" x14ac:dyDescent="0.35">
      <c r="A126" s="23">
        <v>3638</v>
      </c>
      <c r="B126" s="9"/>
      <c r="C126" s="10" t="s">
        <v>118</v>
      </c>
      <c r="D126" s="10" t="s">
        <v>109</v>
      </c>
      <c r="E126" s="10" t="s">
        <v>143</v>
      </c>
      <c r="F126" s="11">
        <v>100</v>
      </c>
      <c r="G126" s="12">
        <v>100</v>
      </c>
      <c r="H126" s="12">
        <v>100</v>
      </c>
      <c r="I126" s="12">
        <f t="shared" si="17"/>
        <v>1.0918000000000001E-2</v>
      </c>
      <c r="J126" s="12">
        <v>3.26</v>
      </c>
      <c r="K126" s="12">
        <v>1.32</v>
      </c>
      <c r="L126" s="12">
        <v>1000</v>
      </c>
      <c r="M126" s="13">
        <f t="shared" si="18"/>
        <v>36.912680000000002</v>
      </c>
      <c r="N126" s="24">
        <v>37.799999999999997</v>
      </c>
      <c r="O126" s="15">
        <f t="shared" si="19"/>
        <v>1.0240383521326546</v>
      </c>
      <c r="P126" s="16">
        <f t="shared" si="10"/>
        <v>3779.9999999999995</v>
      </c>
      <c r="Q126" s="17">
        <v>5460</v>
      </c>
      <c r="R126" s="18">
        <v>100</v>
      </c>
      <c r="S126" s="19">
        <f t="shared" si="22"/>
        <v>501.774</v>
      </c>
      <c r="T126" s="20">
        <f t="shared" si="20"/>
        <v>1166.9579999999996</v>
      </c>
      <c r="U126" s="19">
        <f t="shared" si="12"/>
        <v>1078.2260000000006</v>
      </c>
      <c r="V126" s="21">
        <f t="shared" si="13"/>
        <v>0.28524497354497375</v>
      </c>
      <c r="W126" s="22">
        <f t="shared" si="14"/>
        <v>88.731999999999061</v>
      </c>
    </row>
    <row r="127" spans="1:24" x14ac:dyDescent="0.35">
      <c r="A127" s="8">
        <v>1196</v>
      </c>
      <c r="B127" s="9">
        <v>46258</v>
      </c>
      <c r="C127" s="10" t="s">
        <v>106</v>
      </c>
      <c r="D127" s="10" t="s">
        <v>21</v>
      </c>
      <c r="E127" s="10" t="s">
        <v>144</v>
      </c>
      <c r="F127" s="11">
        <v>130</v>
      </c>
      <c r="G127" s="12">
        <v>50</v>
      </c>
      <c r="H127" s="12">
        <v>30</v>
      </c>
      <c r="I127" s="12">
        <f t="shared" si="17"/>
        <v>1.848E-3</v>
      </c>
      <c r="J127" s="12">
        <v>3.6</v>
      </c>
      <c r="K127" s="12">
        <v>0.24</v>
      </c>
      <c r="L127" s="12">
        <v>1500</v>
      </c>
      <c r="M127" s="13">
        <f t="shared" si="18"/>
        <v>10.219200000000001</v>
      </c>
      <c r="N127" s="24">
        <v>10.91</v>
      </c>
      <c r="O127" s="15">
        <f t="shared" si="19"/>
        <v>1.0675982464380773</v>
      </c>
      <c r="P127" s="16">
        <f t="shared" si="10"/>
        <v>1418.3</v>
      </c>
      <c r="Q127" s="17">
        <v>2684.5</v>
      </c>
      <c r="R127" s="18">
        <v>160</v>
      </c>
      <c r="S127" s="19">
        <f t="shared" si="22"/>
        <v>246.70554999999999</v>
      </c>
      <c r="T127" s="20">
        <f t="shared" si="20"/>
        <v>949.29845</v>
      </c>
      <c r="U127" s="19">
        <f t="shared" si="12"/>
        <v>859.49445000000003</v>
      </c>
      <c r="V127" s="21">
        <f>U127/P127</f>
        <v>0.60600327857293945</v>
      </c>
      <c r="W127" s="22">
        <f t="shared" si="14"/>
        <v>89.803999999999974</v>
      </c>
    </row>
    <row r="128" spans="1:24" x14ac:dyDescent="0.35">
      <c r="A128" s="8">
        <v>1197</v>
      </c>
      <c r="B128" s="9">
        <v>46259</v>
      </c>
      <c r="C128" s="10" t="s">
        <v>26</v>
      </c>
      <c r="D128" s="10" t="s">
        <v>21</v>
      </c>
      <c r="E128" s="10" t="s">
        <v>145</v>
      </c>
      <c r="F128" s="11">
        <v>120</v>
      </c>
      <c r="G128" s="12">
        <v>102</v>
      </c>
      <c r="H128" s="12">
        <v>197</v>
      </c>
      <c r="I128" s="12">
        <f t="shared" si="17"/>
        <v>2.1600000000000001E-2</v>
      </c>
      <c r="J128" s="12">
        <v>4.45</v>
      </c>
      <c r="K128" s="12">
        <v>1.32</v>
      </c>
      <c r="L128" s="12">
        <v>500</v>
      </c>
      <c r="M128" s="13">
        <f t="shared" si="18"/>
        <v>49.38</v>
      </c>
      <c r="N128" s="24">
        <v>50.78</v>
      </c>
      <c r="O128" s="15">
        <f t="shared" si="19"/>
        <v>1.0283515593357635</v>
      </c>
      <c r="P128" s="16">
        <f t="shared" si="10"/>
        <v>6093.6</v>
      </c>
      <c r="Q128" s="29">
        <v>8035.2</v>
      </c>
      <c r="R128" s="18">
        <v>115.56</v>
      </c>
      <c r="S128" s="19">
        <f t="shared" si="22"/>
        <v>738.43487999999991</v>
      </c>
      <c r="T128" s="20">
        <f t="shared" si="20"/>
        <v>1255.6051199999993</v>
      </c>
      <c r="U128" s="19">
        <f t="shared" si="12"/>
        <v>1087.6051199999997</v>
      </c>
      <c r="V128" s="21">
        <f t="shared" si="13"/>
        <v>0.17848318235525792</v>
      </c>
      <c r="W128" s="22">
        <f t="shared" si="14"/>
        <v>167.99999999999955</v>
      </c>
      <c r="X128" t="s">
        <v>32</v>
      </c>
    </row>
    <row r="129" spans="1:23" x14ac:dyDescent="0.35">
      <c r="A129" s="23">
        <v>3641</v>
      </c>
      <c r="B129" s="9">
        <v>46265</v>
      </c>
      <c r="C129" s="10" t="s">
        <v>146</v>
      </c>
      <c r="D129" s="10" t="s">
        <v>21</v>
      </c>
      <c r="E129" s="10" t="s">
        <v>147</v>
      </c>
      <c r="F129" s="11">
        <v>40</v>
      </c>
      <c r="G129" s="12">
        <v>50</v>
      </c>
      <c r="H129" s="12">
        <v>25</v>
      </c>
      <c r="I129" s="12">
        <f t="shared" si="17"/>
        <v>1.5679999999999999E-3</v>
      </c>
      <c r="J129" s="12">
        <v>3.26</v>
      </c>
      <c r="K129" s="12">
        <v>0.24</v>
      </c>
      <c r="L129" s="12">
        <v>1120</v>
      </c>
      <c r="M129" s="13">
        <v>13.63</v>
      </c>
      <c r="N129" s="24">
        <v>13.63</v>
      </c>
      <c r="O129" s="15">
        <f t="shared" si="19"/>
        <v>1</v>
      </c>
      <c r="P129" s="16">
        <f t="shared" si="10"/>
        <v>545.20000000000005</v>
      </c>
      <c r="Q129" s="17">
        <v>862.8</v>
      </c>
      <c r="R129" s="18">
        <v>93.91</v>
      </c>
      <c r="S129" s="19">
        <f t="shared" si="22"/>
        <v>79.291319999999999</v>
      </c>
      <c r="T129" s="20">
        <f t="shared" si="20"/>
        <v>144.3986799999999</v>
      </c>
      <c r="U129" s="19">
        <f t="shared" si="12"/>
        <v>144.3986799999999</v>
      </c>
      <c r="V129" s="21">
        <f t="shared" si="13"/>
        <v>0.26485451210564909</v>
      </c>
      <c r="W129" s="22">
        <f t="shared" si="14"/>
        <v>0</v>
      </c>
    </row>
    <row r="130" spans="1:23" x14ac:dyDescent="0.35">
      <c r="A130" s="8">
        <v>1198</v>
      </c>
      <c r="B130" s="9">
        <v>46260</v>
      </c>
      <c r="C130" s="10" t="s">
        <v>148</v>
      </c>
      <c r="D130" s="10" t="s">
        <v>21</v>
      </c>
      <c r="E130" s="10" t="s">
        <v>149</v>
      </c>
      <c r="F130" s="11">
        <v>200</v>
      </c>
      <c r="G130" s="12">
        <v>90</v>
      </c>
      <c r="H130" s="12">
        <v>60</v>
      </c>
      <c r="I130" s="12">
        <f t="shared" si="17"/>
        <v>6.0480000000000004E-3</v>
      </c>
      <c r="J130" s="12">
        <v>3.26</v>
      </c>
      <c r="K130" s="12">
        <v>0.31</v>
      </c>
      <c r="L130" s="12">
        <v>500</v>
      </c>
      <c r="M130" s="13">
        <v>14.78</v>
      </c>
      <c r="N130" s="24">
        <v>14.78</v>
      </c>
      <c r="O130" s="24">
        <f t="shared" si="19"/>
        <v>1</v>
      </c>
      <c r="P130" s="16">
        <f t="shared" ref="P130:P162" si="23">F130*N130</f>
        <v>2956</v>
      </c>
      <c r="Q130" s="17">
        <v>3846</v>
      </c>
      <c r="R130" s="18">
        <v>120</v>
      </c>
      <c r="S130" s="19">
        <f t="shared" si="22"/>
        <v>353.44739999999996</v>
      </c>
      <c r="T130" s="20">
        <f t="shared" si="20"/>
        <v>416.55259999999998</v>
      </c>
      <c r="U130" s="19">
        <f t="shared" ref="U130:U162" si="24">Q130-P130-R130-S130</f>
        <v>416.55260000000004</v>
      </c>
      <c r="V130" s="21">
        <f t="shared" ref="V130" si="25">U130/P130</f>
        <v>0.14091765899864683</v>
      </c>
      <c r="W130" s="22">
        <f t="shared" ref="W130:W162" si="26">T130-U130</f>
        <v>0</v>
      </c>
    </row>
    <row r="131" spans="1:23" x14ac:dyDescent="0.35">
      <c r="A131" s="39"/>
      <c r="B131" s="40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P131" s="39"/>
      <c r="Q131" s="41"/>
      <c r="R131" s="42"/>
      <c r="S131" s="43"/>
      <c r="T131" s="43"/>
      <c r="U131" s="44"/>
    </row>
    <row r="132" spans="1:23" x14ac:dyDescent="0.35">
      <c r="A132" s="39"/>
      <c r="B132" s="40"/>
      <c r="C132" s="34"/>
      <c r="D132" s="34"/>
      <c r="E132" s="45"/>
      <c r="F132" s="39"/>
      <c r="G132" s="39"/>
      <c r="H132" s="39"/>
      <c r="I132" s="39"/>
      <c r="J132" s="39"/>
      <c r="K132" s="39"/>
      <c r="L132" s="39"/>
      <c r="M132" s="39"/>
      <c r="P132" s="46">
        <f>SUM(P2:P130)</f>
        <v>181491.61399999997</v>
      </c>
      <c r="Q132" s="46">
        <f>SUM(Q2:Q130)</f>
        <v>303982.14000000013</v>
      </c>
      <c r="R132" s="42">
        <f>SUM(R2:R130)</f>
        <v>9102.0300000000007</v>
      </c>
      <c r="S132" s="47">
        <f>SUM(S73:S123)</f>
        <v>8453.2825699999994</v>
      </c>
      <c r="T132" s="47"/>
      <c r="U132" s="22">
        <f>SUM(U64:U123)</f>
        <v>44486.591924000008</v>
      </c>
    </row>
    <row r="133" spans="1:23" x14ac:dyDescent="0.35">
      <c r="A133" s="39"/>
      <c r="B133" s="40"/>
      <c r="C133" s="34"/>
      <c r="D133" s="34"/>
      <c r="E133" s="45"/>
      <c r="F133" s="39"/>
      <c r="G133" s="39"/>
      <c r="H133" s="39"/>
      <c r="I133" s="39"/>
      <c r="J133" s="39"/>
      <c r="K133" s="39"/>
      <c r="L133" s="39"/>
      <c r="M133" s="39"/>
      <c r="P133" s="39"/>
      <c r="Q133" s="41"/>
      <c r="R133" s="42"/>
      <c r="S133" s="43"/>
      <c r="T133" s="43"/>
    </row>
    <row r="134" spans="1:23" x14ac:dyDescent="0.35">
      <c r="A134" s="39"/>
      <c r="B134" s="40"/>
      <c r="C134" s="34"/>
      <c r="D134" s="34"/>
      <c r="E134" s="45"/>
      <c r="F134" s="39"/>
      <c r="G134" s="39"/>
      <c r="H134" s="39"/>
      <c r="I134" s="39"/>
      <c r="J134" s="39"/>
      <c r="K134" s="39"/>
      <c r="L134" s="39"/>
      <c r="M134" s="39"/>
      <c r="P134" s="39"/>
      <c r="Q134" s="48" t="e">
        <f>SUM(#REF!+Q132)</f>
        <v>#REF!</v>
      </c>
      <c r="R134" s="42"/>
      <c r="S134" s="43"/>
      <c r="T134" s="43"/>
    </row>
    <row r="135" spans="1:24" x14ac:dyDescent="0.35">
      <c r="A135" s="11">
        <v>3611</v>
      </c>
      <c r="B135" s="9">
        <v>46245</v>
      </c>
      <c r="C135" s="10" t="s">
        <v>24</v>
      </c>
      <c r="D135" s="10" t="s">
        <v>45</v>
      </c>
      <c r="E135" s="10" t="s">
        <v>50</v>
      </c>
      <c r="F135" s="11">
        <v>30</v>
      </c>
      <c r="N135" s="24">
        <v>2.64</v>
      </c>
      <c r="P135" s="16">
        <v>79.2</v>
      </c>
      <c r="Q135" s="17">
        <v>146.7</v>
      </c>
      <c r="R135" s="18">
        <v>0</v>
      </c>
      <c r="S135" s="19">
        <v>13.48</v>
      </c>
      <c r="T135" s="26">
        <v>54.02</v>
      </c>
      <c r="U135" s="19">
        <v>54.02</v>
      </c>
      <c r="V135" s="21">
        <v>0.682070707070707</v>
      </c>
      <c r="W135" s="22">
        <v>0</v>
      </c>
      <c r="X135" t="inlineStr">
        <is>
          <t>faturamento conferido R$ 146,70 · custo conferido R$ 92,68</t>
        </is>
      </c>
    </row>
  </sheetData>
  <conditionalFormatting sqref="U2:U62">
    <cfRule type="colorScale" priority="8">
      <colorScale>
        <cfvo type="min"/>
        <cfvo type="percentile" val="50"/>
        <cfvo type="max"/>
        <color rgb="FFFF0000"/>
        <color rgb="FFFFFF00"/>
        <color rgb="FF00B050"/>
      </colorScale>
    </cfRule>
    <cfRule type="colorScale" priority="9">
      <colorScale>
        <cfvo type="min"/>
        <cfvo type="percentile" val="50"/>
        <cfvo type="max"/>
        <color rgb="FFFFFF00"/>
        <color rgb="FFFFEB84"/>
        <color rgb="FF00B050"/>
      </colorScale>
    </cfRule>
    <cfRule type="colorScale" priority="10">
      <colorScale>
        <cfvo type="min"/>
        <cfvo type="percentile" val="30"/>
        <cfvo type="max"/>
        <color rgb="FFF8696B"/>
        <color rgb="FFFFFF00"/>
        <color rgb="FF63BE7B"/>
      </colorScale>
    </cfRule>
  </conditionalFormatting>
  <conditionalFormatting sqref="U63:U65">
    <cfRule type="colorScale" priority="1">
      <colorScale>
        <cfvo type="min"/>
        <cfvo type="percentile" val="50"/>
        <cfvo type="max"/>
        <color rgb="FFFF0000"/>
        <color rgb="FFFFFF00"/>
        <color rgb="FF00B050"/>
      </colorScale>
    </cfRule>
    <cfRule type="colorScale" priority="2">
      <colorScale>
        <cfvo type="min"/>
        <cfvo type="percentile" val="50"/>
        <cfvo type="max"/>
        <color rgb="FFFFFF00"/>
        <color rgb="FFFFEB84"/>
        <color rgb="FF00B050"/>
      </colorScale>
    </cfRule>
    <cfRule type="colorScale" priority="3">
      <colorScale>
        <cfvo type="min"/>
        <cfvo type="percentile" val="30"/>
        <cfvo type="max"/>
        <color rgb="FFF8696B"/>
        <color rgb="FFFFFF00"/>
        <color rgb="FF63BE7B"/>
      </colorScale>
    </cfRule>
  </conditionalFormatting>
  <conditionalFormatting sqref="U66:U130">
    <cfRule type="colorScale" priority="5">
      <colorScale>
        <cfvo type="min"/>
        <cfvo type="percentile" val="50"/>
        <cfvo type="max"/>
        <color rgb="FFFF0000"/>
        <color rgb="FFFFFF00"/>
        <color rgb="FF00B050"/>
      </colorScale>
    </cfRule>
    <cfRule type="colorScale" priority="6">
      <colorScale>
        <cfvo type="min"/>
        <cfvo type="percentile" val="50"/>
        <cfvo type="max"/>
        <color rgb="FFFFFF00"/>
        <color rgb="FFFFEB84"/>
        <color rgb="FF00B050"/>
      </colorScale>
    </cfRule>
    <cfRule type="colorScale" priority="7">
      <colorScale>
        <cfvo type="min"/>
        <cfvo type="percentile" val="30"/>
        <cfvo type="max"/>
        <color rgb="FFF8696B"/>
        <color rgb="FFFFFF00"/>
        <color rgb="FF63BE7B"/>
      </colorScale>
    </cfRule>
  </conditionalFormatting>
  <conditionalFormatting sqref="V2:V130">
    <cfRule type="cellIs" dxfId="0" priority="4" operator="lessThan">
      <formula>0.1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2026-09-07T14:41:39Z</dcterms:created>
  <dcterms:modified xsi:type="dcterms:W3CDTF">2026-09-07T15:11:33Z</dcterms:modified>
</cp:coreProperties>
</file>