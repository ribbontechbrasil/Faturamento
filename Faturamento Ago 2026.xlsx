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<sst xmlns="http://schemas.openxmlformats.org/spreadsheetml/2006/main" count="379" uniqueCount="150">
  <si>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</si>
  <si>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</si>
  <si>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</si>
  <si>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</si>
  <si>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</si>
  <si>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</si>
  <si>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</si>
  <si>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</si>
  <si>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</si>
  <si>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</si>
  <si>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</si>
  <si>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</si>
  <si>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</si>
  <si>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</si>
  <si>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</si>
  <si>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</si>
  <si>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</si>
  <si>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</si>
  <si>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</si>
  <si>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</si>
  <si>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</si>
  <si>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</si>
  <si>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</si>
  <si>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ver com Camila - Renato conferiu</t>
  </si>
  <si>
    <t>FRANCAP</t>
  </si>
  <si>
    <t>ETBOPP80185</t>
  </si>
  <si>
    <t>FRIVASA</t>
  </si>
  <si>
    <t>Rótulo</t>
  </si>
  <si>
    <t>rot.PEAD86x165T3</t>
  </si>
  <si>
    <t>Ver custo Pead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</si>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</sst>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f>Q2-((M2*F2)+R2+S2)</f>
        <v>-1186.0701499999996</v>
      </c>
      <c r="U2" s="19">
        <f t="shared" ref="U2:U65" si="5">Q2-P2-R2-S2</f>
        <v>1676.7554500000003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23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21.09</v>
      </c>
      <c r="O3" s="15">
        <f t="shared" si="2"/>
        <v>0.70900977959477918</v>
      </c>
      <c r="P3" s="16">
        <f t="shared" si="3"/>
        <v>3163.5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si="5"/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/>
      <c r="O4" s="15">
        <f t="shared" si="2"/>
        <v>0</v>
      </c>
      <c r="P4" s="50">
        <v>500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/>
      <c r="O5" s="15">
        <f t="shared" si="2"/>
        <v>0</v>
      </c>
      <c r="P5" s="50">
        <v>1800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12.36</v>
      </c>
      <c r="O70" s="24"/>
      <c r="P70" s="16">
        <f t="shared" si="10"/>
        <v>7119.36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18918.692800000001</v>
      </c>
      <c r="U70" s="19">
        <f t="shared" si="12"/>
        <v>18918.692800000001</v>
      </c>
      <c r="V70" s="21">
        <f t="shared" si="13"/>
        <v>2.6573586389787849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