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Planilh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16]d\-mmm;@"/>
    <numFmt numFmtId="165" formatCode="_-* #,##0.00_-;\-* #,##0.00_-;_-* &quot;-&quot;??_-;_-@_-"/>
    <numFmt numFmtId="166" formatCode="&quot;R$&quot;\ #,##0.00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Aptos Narrow"/>
      <family val="2"/>
      <color rgb="FF00B0F0"/>
      <sz val="11"/>
      <scheme val="minor"/>
    </font>
    <font>
      <name val="Segoe UI"/>
      <charset val="1"/>
      <color indexed="81"/>
      <sz val="9"/>
    </font>
    <font>
      <name val="Segoe UI"/>
      <charset val="1"/>
      <b val="1"/>
      <color indexed="81"/>
      <sz val="9"/>
    </font>
  </fonts>
  <fills count="11">
    <fill>
      <patternFill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71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164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left"/>
    </xf>
    <xf numFmtId="4" fontId="2" fillId="2" borderId="1" pivotButton="0" quotePrefix="0" xfId="1"/>
    <xf numFmtId="165" fontId="2" fillId="2" borderId="1" applyAlignment="1" pivotButton="0" quotePrefix="0" xfId="1">
      <alignment horizontal="center"/>
    </xf>
    <xf numFmtId="4" fontId="2" fillId="2" borderId="1" applyAlignment="1" pivotButton="0" quotePrefix="0" xfId="1">
      <alignment horizontal="center"/>
    </xf>
    <xf numFmtId="166" fontId="2" fillId="2" borderId="1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5" fontId="0" fillId="3" borderId="1" applyAlignment="1" pivotButton="0" quotePrefix="0" xfId="1">
      <alignment horizontal="center"/>
    </xf>
    <xf numFmtId="165" fontId="3" fillId="4" borderId="1" pivotButton="0" quotePrefix="0" xfId="1"/>
    <xf numFmtId="9" fontId="0" fillId="0" borderId="1" pivotButton="0" quotePrefix="0" xfId="2"/>
    <xf numFmtId="165" fontId="4" fillId="0" borderId="1" applyAlignment="1" pivotButton="0" quotePrefix="0" xfId="1">
      <alignment horizontal="center" vertical="center"/>
    </xf>
    <xf numFmtId="4" fontId="0" fillId="0" borderId="1" applyAlignment="1" pivotButton="0" quotePrefix="0" xfId="0">
      <alignment horizontal="right"/>
    </xf>
    <xf numFmtId="166" fontId="0" fillId="0" borderId="1" applyAlignment="1" pivotButton="0" quotePrefix="0" xfId="1">
      <alignment horizontal="right"/>
    </xf>
    <xf numFmtId="165" fontId="4" fillId="0" borderId="1" applyAlignment="1" pivotButton="0" quotePrefix="0" xfId="1">
      <alignment horizontal="right" vertical="center"/>
    </xf>
    <xf numFmtId="165" fontId="4" fillId="5" borderId="1" applyAlignment="1" pivotButton="0" quotePrefix="0" xfId="1">
      <alignment horizontal="right" vertical="center"/>
    </xf>
    <xf numFmtId="9" fontId="4" fillId="0" borderId="1" applyAlignment="1" pivotButton="0" quotePrefix="0" xfId="2">
      <alignment horizontal="right" vertical="center"/>
    </xf>
    <xf numFmtId="165" fontId="0" fillId="0" borderId="0" pivotButton="0" quotePrefix="0" xfId="0"/>
    <xf numFmtId="0" fontId="5" fillId="0" borderId="1" applyAlignment="1" pivotButton="0" quotePrefix="0" xfId="0">
      <alignment horizontal="center"/>
    </xf>
    <xf numFmtId="165" fontId="0" fillId="0" borderId="1" pivotButton="0" quotePrefix="0" xfId="1"/>
    <xf numFmtId="0" fontId="0" fillId="0" borderId="1" pivotButton="0" quotePrefix="0" xfId="0"/>
    <xf numFmtId="165" fontId="4" fillId="3" borderId="1" applyAlignment="1" pivotButton="0" quotePrefix="0" xfId="1">
      <alignment horizontal="right" vertical="center"/>
    </xf>
    <xf numFmtId="165" fontId="4" fillId="6" borderId="1" applyAlignment="1" pivotButton="0" quotePrefix="0" xfId="1">
      <alignment horizontal="right" vertical="center"/>
    </xf>
    <xf numFmtId="165" fontId="0" fillId="0" borderId="1" applyAlignment="1" pivotButton="0" quotePrefix="0" xfId="1">
      <alignment horizontal="center" vertical="center"/>
    </xf>
    <xf numFmtId="4" fontId="0" fillId="0" borderId="1" applyAlignment="1" pivotButton="0" quotePrefix="0" xfId="1">
      <alignment horizontal="right"/>
    </xf>
    <xf numFmtId="165" fontId="4" fillId="0" borderId="1" applyAlignment="1" pivotButton="0" quotePrefix="0" xfId="1">
      <alignment vertical="center"/>
    </xf>
    <xf numFmtId="4" fontId="0" fillId="0" borderId="1" pivotButton="0" quotePrefix="0" xfId="0"/>
    <xf numFmtId="14" fontId="0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6" fontId="0" fillId="7" borderId="1" applyAlignment="1" pivotButton="0" quotePrefix="0" xfId="1">
      <alignment horizontal="right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horizontal="left"/>
    </xf>
    <xf numFmtId="165" fontId="0" fillId="0" borderId="1" applyAlignment="1" pivotButton="0" quotePrefix="0" xfId="1">
      <alignment horizontal="righ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5" fontId="0" fillId="0" borderId="0" pivotButton="0" quotePrefix="0" xfId="1"/>
    <xf numFmtId="0" fontId="4" fillId="8" borderId="0" applyAlignment="1" pivotButton="0" quotePrefix="0" xfId="0">
      <alignment horizontal="left"/>
    </xf>
    <xf numFmtId="4" fontId="0" fillId="9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" fontId="0" fillId="10" borderId="0" applyAlignment="1" pivotButton="0" quotePrefix="0" xfId="0">
      <alignment horizontal="right"/>
    </xf>
    <xf numFmtId="4" fontId="0" fillId="0" borderId="0" pivotButton="0" quotePrefix="0" xfId="0"/>
    <xf numFmtId="165" fontId="4" fillId="4" borderId="1" applyAlignment="1" pivotButton="0" quotePrefix="0" xfId="1">
      <alignment horizontal="center" vertical="center"/>
    </xf>
    <xf numFmtId="165" fontId="2" fillId="2" borderId="1" applyAlignment="1" pivotButton="0" quotePrefix="0" xfId="1">
      <alignment horizontal="center"/>
    </xf>
    <xf numFmtId="166" fontId="2" fillId="2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/>
    </xf>
    <xf numFmtId="165" fontId="3" fillId="4" borderId="1" pivotButton="0" quotePrefix="0" xfId="1"/>
    <xf numFmtId="165" fontId="4" fillId="0" borderId="1" applyAlignment="1" pivotButton="0" quotePrefix="0" xfId="1">
      <alignment horizontal="center" vertical="center"/>
    </xf>
    <xf numFmtId="166" fontId="0" fillId="0" borderId="1" applyAlignment="1" pivotButton="0" quotePrefix="0" xfId="1">
      <alignment horizontal="right"/>
    </xf>
    <xf numFmtId="165" fontId="4" fillId="0" borderId="1" applyAlignment="1" pivotButton="0" quotePrefix="0" xfId="1">
      <alignment horizontal="right" vertical="center"/>
    </xf>
    <xf numFmtId="165" fontId="4" fillId="5" borderId="1" applyAlignment="1" pivotButton="0" quotePrefix="0" xfId="1">
      <alignment horizontal="right" vertical="center"/>
    </xf>
    <xf numFmtId="165" fontId="0" fillId="0" borderId="0" pivotButton="0" quotePrefix="0" xfId="0"/>
    <xf numFmtId="165" fontId="0" fillId="0" borderId="1" pivotButton="0" quotePrefix="0" xfId="1"/>
    <xf numFmtId="165" fontId="4" fillId="4" borderId="1" applyAlignment="1" pivotButton="0" quotePrefix="0" xfId="1">
      <alignment horizontal="center" vertical="center"/>
    </xf>
    <xf numFmtId="165" fontId="4" fillId="3" borderId="1" applyAlignment="1" pivotButton="0" quotePrefix="0" xfId="1">
      <alignment horizontal="right" vertical="center"/>
    </xf>
    <xf numFmtId="165" fontId="4" fillId="6" borderId="1" applyAlignment="1" pivotButton="0" quotePrefix="0" xfId="1">
      <alignment horizontal="right" vertical="center"/>
    </xf>
    <xf numFmtId="165" fontId="0" fillId="0" borderId="1" applyAlignment="1" pivotButton="0" quotePrefix="0" xfId="1">
      <alignment horizontal="center" vertical="center"/>
    </xf>
    <xf numFmtId="165" fontId="4" fillId="0" borderId="1" applyAlignment="1" pivotButton="0" quotePrefix="0" xfId="1">
      <alignment vertical="center"/>
    </xf>
    <xf numFmtId="166" fontId="0" fillId="7" borderId="1" applyAlignment="1" pivotButton="0" quotePrefix="0" xfId="1">
      <alignment horizontal="right"/>
    </xf>
    <xf numFmtId="165" fontId="0" fillId="0" borderId="1" applyAlignment="1" pivotButton="0" quotePrefix="0" xfId="1">
      <alignment horizontal="right"/>
    </xf>
    <xf numFmtId="166" fontId="0" fillId="0" borderId="0" applyAlignment="1" pivotButton="0" quotePrefix="0" xfId="0">
      <alignment horizontal="right"/>
    </xf>
    <xf numFmtId="165" fontId="0" fillId="0" borderId="0" pivotButton="0" quotePrefix="0" xfId="1"/>
    <xf numFmtId="165" fontId="0" fillId="0" borderId="0" applyAlignment="1" pivotButton="0" quotePrefix="0" xfId="0">
      <alignment horizontal="right"/>
    </xf>
  </cellXfs>
  <cellStyles count="3">
    <cellStyle name="Normal" xfId="0" builtinId="0"/>
    <cellStyle name="Vírgula" xfId="1" builtinId="3"/>
    <cellStyle name="Porcentagem" xfId="2" builtinId="5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tc={502A6C14-0328-4C7B-AD6D-ABEE59E78D43}</author>
    <author>User</author>
    <author>tc={4A6326F1-9513-4E62-B37A-E2A937F3864A}</author>
  </authors>
  <commentList>
    <comment ref="N4" authorId="0" shapeId="0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</text>
    </comment>
    <comment ref="P4" authorId="1" shapeId="0">
      <text>
        <t>User:
preço estimado</t>
      </text>
    </comment>
    <comment ref="N5" authorId="2" shapeId="0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5"/>
  <sheetViews>
    <sheetView tabSelected="1" topLeftCell="G1" workbookViewId="0">
      <selection activeCell="O132" sqref="O132"/>
    </sheetView>
  </sheetViews>
  <sheetFormatPr baseColWidth="8" defaultRowHeight="14.5"/>
  <cols>
    <col width="5.54296875" bestFit="1" customWidth="1" min="1" max="1"/>
    <col hidden="1" width="8.453125" customWidth="1" min="2" max="2"/>
    <col width="26.81640625" customWidth="1" min="3" max="4"/>
    <col width="28.453125" customWidth="1" min="5" max="5"/>
    <col width="6.26953125" customWidth="1" min="6" max="8"/>
    <col width="10.54296875" customWidth="1" min="9" max="9"/>
    <col width="6.26953125" customWidth="1" min="10" max="11"/>
    <col width="18.26953125" customWidth="1" min="12" max="13"/>
    <col width="15.26953125" customWidth="1" min="14" max="15"/>
    <col width="12.26953125" bestFit="1" customWidth="1" min="16" max="16"/>
    <col width="11.26953125" bestFit="1" customWidth="1" style="49" min="17" max="17"/>
    <col width="11.26953125" bestFit="1" customWidth="1" min="18" max="18"/>
    <col width="11.1796875" bestFit="1" customWidth="1" min="19" max="19"/>
    <col width="11.1796875" customWidth="1" min="20" max="20"/>
    <col width="14.81640625" bestFit="1" customWidth="1" min="21" max="21"/>
    <col width="9.1796875" bestFit="1" customWidth="1" min="22" max="22"/>
    <col width="9.08984375" bestFit="1" customWidth="1" min="23" max="23"/>
  </cols>
  <sheetData>
    <row r="1">
      <c r="A1" s="1" t="inlineStr">
        <is>
          <t>Nota</t>
        </is>
      </c>
      <c r="B1" s="2" t="inlineStr">
        <is>
          <t>Emissão</t>
        </is>
      </c>
      <c r="C1" s="3" t="inlineStr">
        <is>
          <t>Cliente</t>
        </is>
      </c>
      <c r="D1" s="3" t="inlineStr">
        <is>
          <t>Categoria</t>
        </is>
      </c>
      <c r="E1" s="1" t="inlineStr">
        <is>
          <t>Item</t>
        </is>
      </c>
      <c r="F1" s="1" t="inlineStr">
        <is>
          <t>nr. rolos</t>
        </is>
      </c>
      <c r="G1" s="1" t="inlineStr">
        <is>
          <t>L</t>
        </is>
      </c>
      <c r="H1" s="1" t="inlineStr">
        <is>
          <t>A</t>
        </is>
      </c>
      <c r="I1" s="1" t="inlineStr">
        <is>
          <t>Área</t>
        </is>
      </c>
      <c r="J1" s="1" t="inlineStr">
        <is>
          <t>Substrato</t>
        </is>
      </c>
      <c r="K1" s="1" t="inlineStr">
        <is>
          <t>Tubete</t>
        </is>
      </c>
      <c r="L1" s="1" t="inlineStr">
        <is>
          <t>Quant. Por rolo</t>
        </is>
      </c>
      <c r="M1" s="1" t="inlineStr">
        <is>
          <t>Custo Unit.</t>
        </is>
      </c>
      <c r="N1" s="4" t="inlineStr">
        <is>
          <t>Custo Unit.Camila</t>
        </is>
      </c>
      <c r="O1" s="4" t="n"/>
      <c r="P1" s="51" t="inlineStr">
        <is>
          <t>Custo Total</t>
        </is>
      </c>
      <c r="Q1" s="6" t="inlineStr">
        <is>
          <t>Venda</t>
        </is>
      </c>
      <c r="R1" s="52" t="inlineStr">
        <is>
          <t>Frete</t>
        </is>
      </c>
      <c r="S1" s="51" t="inlineStr">
        <is>
          <t>Impostos</t>
        </is>
      </c>
      <c r="T1" s="51" t="n"/>
      <c r="U1" s="51" t="inlineStr">
        <is>
          <t>Venda líquida</t>
        </is>
      </c>
      <c r="V1" s="51" t="inlineStr">
        <is>
          <t>%</t>
        </is>
      </c>
    </row>
    <row r="2">
      <c r="A2" s="8" t="n">
        <v>1176</v>
      </c>
      <c r="B2" s="9" t="n">
        <v>46247</v>
      </c>
      <c r="C2" s="10" t="inlineStr">
        <is>
          <t>BASE</t>
        </is>
      </c>
      <c r="D2" s="10" t="inlineStr">
        <is>
          <t>Etiqueta</t>
        </is>
      </c>
      <c r="E2" s="10" t="inlineStr">
        <is>
          <t>ETBOPP100x80</t>
        </is>
      </c>
      <c r="F2" s="11" t="n">
        <v>80</v>
      </c>
      <c r="G2" s="12" t="n">
        <v>100</v>
      </c>
      <c r="H2" s="12" t="n">
        <v>80</v>
      </c>
      <c r="I2" s="12">
        <f>((G2+6)*(H2+3))/1000000</f>
        <v/>
      </c>
      <c r="J2" s="12" t="n">
        <v>4.17</v>
      </c>
      <c r="K2" s="12" t="n">
        <v>1.32</v>
      </c>
      <c r="L2" s="12" t="n">
        <v>2000</v>
      </c>
      <c r="M2" s="53">
        <f>(I2*J2*L2)+K2</f>
        <v/>
      </c>
      <c r="N2" s="54" t="n">
        <v>38.91</v>
      </c>
      <c r="O2" s="15">
        <f>N2/M2</f>
        <v/>
      </c>
      <c r="P2" s="55">
        <f>F2*N2</f>
        <v/>
      </c>
      <c r="Q2" s="17" t="n">
        <v>5494.5</v>
      </c>
      <c r="R2" s="56" t="n">
        <v>200</v>
      </c>
      <c r="S2" s="57">
        <f>Q2*0.0919</f>
        <v/>
      </c>
      <c r="T2" s="58" t="n">
        <v>1024.56</v>
      </c>
      <c r="U2" s="57" t="n">
        <v>1024.56</v>
      </c>
      <c r="V2" s="21">
        <f>U2/P2</f>
        <v/>
      </c>
      <c r="W2" s="59">
        <f>T2-U2</f>
        <v/>
      </c>
      <c r="X2" t="inlineStr">
        <is>
          <t>venda líquida conferida R$ 1.024,56 (coluna T usava Custo Unit. teórico)</t>
        </is>
      </c>
    </row>
    <row r="3">
      <c r="A3" s="23" t="n">
        <v>3611</v>
      </c>
      <c r="B3" s="9" t="n">
        <v>46245</v>
      </c>
      <c r="C3" s="10" t="inlineStr">
        <is>
          <t>FRANCAP</t>
        </is>
      </c>
      <c r="D3" s="10" t="inlineStr">
        <is>
          <t>Etiqueta</t>
        </is>
      </c>
      <c r="E3" s="10" t="inlineStr">
        <is>
          <t>ETBOPP80185</t>
        </is>
      </c>
      <c r="F3" s="11" t="n">
        <v>150</v>
      </c>
      <c r="G3" s="12" t="n">
        <v>80</v>
      </c>
      <c r="H3" s="12" t="n">
        <v>185</v>
      </c>
      <c r="I3" s="12">
        <f>((G3+6)*(H3+2.325))/1000000</f>
        <v/>
      </c>
      <c r="J3" s="12" t="n">
        <v>4.45</v>
      </c>
      <c r="K3" s="12" t="n">
        <v>1.07</v>
      </c>
      <c r="L3" s="12" t="n">
        <v>400</v>
      </c>
      <c r="M3" s="53">
        <f>(I3*J3*L3)+K3</f>
        <v/>
      </c>
      <c r="N3" s="60" t="n">
        <v>34.446</v>
      </c>
      <c r="O3" s="15">
        <f>N3/M3</f>
        <v/>
      </c>
      <c r="P3" s="55">
        <f>F3*N3</f>
        <v/>
      </c>
      <c r="Q3" s="17" t="n">
        <v>6364.5</v>
      </c>
      <c r="R3" s="56" t="n">
        <v>70</v>
      </c>
      <c r="S3" s="57">
        <f>Q3*0.0919</f>
        <v/>
      </c>
      <c r="T3" s="58">
        <f>Q3-((M3*F3)+R3+S3)</f>
        <v/>
      </c>
      <c r="U3" s="57">
        <f>Q3-P3-R3-S3</f>
        <v/>
      </c>
      <c r="V3" s="21">
        <f>U3/P3</f>
        <v/>
      </c>
      <c r="W3" s="59">
        <f>T3-U3</f>
        <v/>
      </c>
      <c r="X3" t="inlineStr">
        <is>
          <t>custo conferido R$ 5.166,90 (Custo Final 34,446 x 150)</t>
        </is>
      </c>
    </row>
    <row r="4">
      <c r="A4" s="8" t="n">
        <v>1167</v>
      </c>
      <c r="B4" s="9" t="n">
        <v>46238</v>
      </c>
      <c r="C4" s="10" t="inlineStr">
        <is>
          <t>FRIVASA</t>
        </is>
      </c>
      <c r="D4" s="10" t="inlineStr">
        <is>
          <t>Rótulo</t>
        </is>
      </c>
      <c r="E4" s="10" t="inlineStr">
        <is>
          <t>rot.PEAD86x165T3</t>
        </is>
      </c>
      <c r="F4" s="11" t="n">
        <v>16</v>
      </c>
      <c r="G4" s="12" t="n">
        <v>86</v>
      </c>
      <c r="H4" s="12" t="n">
        <v>165</v>
      </c>
      <c r="I4" s="12">
        <f>((G4+6)*(H4+3))/1000000</f>
        <v/>
      </c>
      <c r="J4" s="12" t="n">
        <v>4.45</v>
      </c>
      <c r="K4" s="12" t="n">
        <v>1.32</v>
      </c>
      <c r="L4" s="12" t="n">
        <v>1000</v>
      </c>
      <c r="M4" s="53">
        <f>(I4*J4*L4)+K4</f>
        <v/>
      </c>
      <c r="N4" s="60" t="n">
        <v>37.65</v>
      </c>
      <c r="O4" s="15">
        <f>N4/M4</f>
        <v/>
      </c>
      <c r="P4" s="61" t="n">
        <v>602.4</v>
      </c>
      <c r="Q4" s="17" t="n">
        <v>763.04</v>
      </c>
      <c r="R4" s="56" t="n">
        <v>88.94</v>
      </c>
      <c r="S4" s="57">
        <f>Q4*0.0919</f>
        <v/>
      </c>
      <c r="T4" s="58" t="n">
        <v>4.82</v>
      </c>
      <c r="U4" s="57" t="n">
        <v>4.82</v>
      </c>
      <c r="V4" s="21">
        <f>U4/P4</f>
        <v/>
      </c>
      <c r="W4" s="59">
        <f>T4-U4</f>
        <v/>
      </c>
      <c r="X4" t="inlineStr">
        <is>
          <t>custo PEAD conferido R$ 602,40; venda líquida conferida R$ 4,82</t>
        </is>
      </c>
    </row>
    <row r="5">
      <c r="A5" s="8" t="n">
        <v>1190</v>
      </c>
      <c r="B5" s="9" t="n">
        <v>46254</v>
      </c>
      <c r="C5" s="10" t="inlineStr">
        <is>
          <t>INJEX</t>
        </is>
      </c>
      <c r="D5" s="10" t="inlineStr">
        <is>
          <t>Rótulo</t>
        </is>
      </c>
      <c r="E5" s="10" t="inlineStr">
        <is>
          <t>rot.03.001.00039</t>
        </is>
      </c>
      <c r="F5" s="11" t="n">
        <v>50</v>
      </c>
      <c r="G5" s="12" t="n">
        <v>50</v>
      </c>
      <c r="H5" s="12" t="n">
        <v>20</v>
      </c>
      <c r="I5" s="12">
        <f>((G5+6)*(H5+3))/1000000</f>
        <v/>
      </c>
      <c r="J5" s="12" t="n">
        <v>3.26</v>
      </c>
      <c r="K5" s="12" t="n">
        <v>0.24</v>
      </c>
      <c r="L5" s="12" t="n">
        <v>4000</v>
      </c>
      <c r="M5" s="53">
        <f>(I5*J5*L5)+K5</f>
        <v/>
      </c>
      <c r="N5" s="60" t="n">
        <v>25.0464</v>
      </c>
      <c r="O5" s="15">
        <f>N5/M5</f>
        <v/>
      </c>
      <c r="P5" s="61" t="n">
        <v>1252.32</v>
      </c>
      <c r="Q5" s="17" t="n">
        <v>2432</v>
      </c>
      <c r="R5" s="56" t="n">
        <v>105.32</v>
      </c>
      <c r="S5" s="57">
        <f>Q5*0.0919</f>
        <v/>
      </c>
      <c r="T5" s="58">
        <f>Q5-((M5*F5)+R5+S5)</f>
        <v/>
      </c>
      <c r="U5" s="57">
        <f>Q5-P5-R5-S5</f>
        <v/>
      </c>
      <c r="V5" s="21">
        <f>U5/P5</f>
        <v/>
      </c>
      <c r="W5" s="59">
        <f>T5-U5</f>
        <v/>
      </c>
      <c r="X5" t="inlineStr">
        <is>
          <t>ok</t>
        </is>
      </c>
    </row>
    <row r="6">
      <c r="A6" s="8" t="n">
        <v>1188</v>
      </c>
      <c r="B6" s="9" t="n">
        <v>46252</v>
      </c>
      <c r="C6" s="10" t="inlineStr">
        <is>
          <t>EMIS</t>
        </is>
      </c>
      <c r="D6" s="10" t="inlineStr">
        <is>
          <t>Etiqueta</t>
        </is>
      </c>
      <c r="E6" s="25" t="inlineStr">
        <is>
          <t>ETCOU10070</t>
        </is>
      </c>
      <c r="F6" s="11" t="n">
        <v>50</v>
      </c>
      <c r="G6" s="12" t="n">
        <v>100</v>
      </c>
      <c r="H6" s="12" t="n">
        <v>70</v>
      </c>
      <c r="I6" s="12">
        <f>((G6+6)*(H6+3))/1000000</f>
        <v/>
      </c>
      <c r="J6" s="12" t="n">
        <v>3.26</v>
      </c>
      <c r="K6" s="12" t="n">
        <v>1.32</v>
      </c>
      <c r="L6" s="12" t="n">
        <v>1285</v>
      </c>
      <c r="M6" s="53">
        <f>(I6*J6*L6)+K6</f>
        <v/>
      </c>
      <c r="N6" s="60" t="n">
        <v>33.33</v>
      </c>
      <c r="O6" s="15">
        <f>N6/M6</f>
        <v/>
      </c>
      <c r="P6" s="55">
        <f>F6*N6</f>
        <v/>
      </c>
      <c r="Q6" s="17" t="n">
        <v>2498</v>
      </c>
      <c r="R6" s="56" t="n">
        <v>0</v>
      </c>
      <c r="S6" s="57">
        <f>Q6*0.0919</f>
        <v/>
      </c>
      <c r="T6" s="58">
        <f>Q6-((M6*F6)+R6+S6)</f>
        <v/>
      </c>
      <c r="U6" s="57">
        <f>Q6-P6-R6-S6</f>
        <v/>
      </c>
      <c r="V6" s="21">
        <f>U6/P6</f>
        <v/>
      </c>
      <c r="W6" s="59">
        <f>T6-U6</f>
        <v/>
      </c>
    </row>
    <row r="7">
      <c r="A7" s="8" t="n">
        <v>1188</v>
      </c>
      <c r="B7" s="9" t="n"/>
      <c r="C7" s="10" t="inlineStr">
        <is>
          <t>EMIS</t>
        </is>
      </c>
      <c r="D7" s="10" t="inlineStr">
        <is>
          <t>Etiqueta</t>
        </is>
      </c>
      <c r="E7" s="25" t="inlineStr">
        <is>
          <t>ETCOU1007040</t>
        </is>
      </c>
      <c r="F7" s="11" t="n">
        <v>100</v>
      </c>
      <c r="G7" s="12" t="n">
        <v>100</v>
      </c>
      <c r="H7" s="12" t="n">
        <v>70</v>
      </c>
      <c r="I7" s="12">
        <f>((G7+6)*(H7+3))/1000000</f>
        <v/>
      </c>
      <c r="J7" s="12" t="n">
        <v>3.26</v>
      </c>
      <c r="K7" s="12" t="n">
        <v>0.34</v>
      </c>
      <c r="L7" s="12" t="n">
        <v>554</v>
      </c>
      <c r="M7" s="53">
        <f>(I7*J7*L7)+K7</f>
        <v/>
      </c>
      <c r="N7" s="60" t="n">
        <v>14.12</v>
      </c>
      <c r="O7" s="15">
        <f>N7/M7</f>
        <v/>
      </c>
      <c r="P7" s="55">
        <f>F7*N7</f>
        <v/>
      </c>
      <c r="Q7" s="17" t="n">
        <v>2301</v>
      </c>
      <c r="R7" s="56" t="n">
        <v>50</v>
      </c>
      <c r="S7" s="57">
        <f>Q7*0.0919</f>
        <v/>
      </c>
      <c r="T7" s="58">
        <f>Q7-((M7*F7)+R7+S7)</f>
        <v/>
      </c>
      <c r="U7" s="57">
        <f>Q7-P7-R7-S7</f>
        <v/>
      </c>
      <c r="V7" s="21">
        <f>U7/P7</f>
        <v/>
      </c>
      <c r="W7" s="59">
        <f>T7-U7</f>
        <v/>
      </c>
    </row>
    <row r="8">
      <c r="A8" s="8" t="n">
        <v>1170</v>
      </c>
      <c r="B8" s="9" t="n">
        <v>46240</v>
      </c>
      <c r="C8" s="10" t="inlineStr">
        <is>
          <t>EMIS</t>
        </is>
      </c>
      <c r="D8" s="10" t="inlineStr">
        <is>
          <t>Etiqueta</t>
        </is>
      </c>
      <c r="E8" s="10" t="inlineStr">
        <is>
          <t>ETBOPP5151</t>
        </is>
      </c>
      <c r="F8" s="11" t="n">
        <v>4</v>
      </c>
      <c r="G8" s="12" t="n">
        <v>51</v>
      </c>
      <c r="H8" s="12" t="n">
        <v>51</v>
      </c>
      <c r="I8" s="12">
        <f>((G8+6)*(H8+3))/1000000</f>
        <v/>
      </c>
      <c r="J8" s="12" t="n">
        <v>4.45</v>
      </c>
      <c r="K8" s="12" t="n">
        <v>0.24</v>
      </c>
      <c r="L8" s="12" t="n">
        <v>1111</v>
      </c>
      <c r="M8" s="53">
        <f>(I8*J8*L8)+K8</f>
        <v/>
      </c>
      <c r="N8" s="60" t="n">
        <v>11.43</v>
      </c>
      <c r="O8" s="15">
        <f>N8/M8</f>
        <v/>
      </c>
      <c r="P8" s="55">
        <f>F8*N8</f>
        <v/>
      </c>
      <c r="Q8" s="17" t="n">
        <v>259.6</v>
      </c>
      <c r="R8" s="56" t="n">
        <v>40</v>
      </c>
      <c r="S8" s="57">
        <f>Q8*0.0919</f>
        <v/>
      </c>
      <c r="T8" s="58">
        <f>Q8-((M8*F8)+R8+S8)</f>
        <v/>
      </c>
      <c r="U8" s="57">
        <f>Q8-P8-R8-S8</f>
        <v/>
      </c>
      <c r="V8" s="21">
        <f>U8/P8</f>
        <v/>
      </c>
      <c r="W8" s="59">
        <f>T8-U8</f>
        <v/>
      </c>
    </row>
    <row r="9">
      <c r="A9" s="23" t="n">
        <v>3617</v>
      </c>
      <c r="B9" s="9" t="n">
        <v>46246</v>
      </c>
      <c r="C9" s="10" t="inlineStr">
        <is>
          <t>NUTRISANTOS</t>
        </is>
      </c>
      <c r="D9" s="10" t="inlineStr">
        <is>
          <t>Etiqueta</t>
        </is>
      </c>
      <c r="E9" s="10" t="inlineStr">
        <is>
          <t>BOPP10050</t>
        </is>
      </c>
      <c r="F9" s="11" t="n">
        <v>60</v>
      </c>
      <c r="G9" s="12" t="n">
        <v>100</v>
      </c>
      <c r="H9" s="12" t="n">
        <v>50</v>
      </c>
      <c r="I9" s="12">
        <f>((G9+6)*(H9+3))/1000000</f>
        <v/>
      </c>
      <c r="J9" s="12" t="n">
        <v>4.17</v>
      </c>
      <c r="K9" s="12" t="n">
        <v>1.32</v>
      </c>
      <c r="L9" s="12" t="n">
        <v>1500</v>
      </c>
      <c r="M9" s="53">
        <f>(I9*J9*L9)+K9</f>
        <v/>
      </c>
      <c r="N9" s="60" t="n">
        <v>36.2</v>
      </c>
      <c r="O9" s="15">
        <f>N9/M9</f>
        <v/>
      </c>
      <c r="P9" s="55">
        <f>F9*N9</f>
        <v/>
      </c>
      <c r="Q9" s="17" t="n">
        <v>2988.6</v>
      </c>
      <c r="R9" s="56" t="n">
        <v>0</v>
      </c>
      <c r="S9" s="57">
        <f>Q9*0.0919</f>
        <v/>
      </c>
      <c r="T9" s="58">
        <f>Q9-((M9*F9)+R9+S9)</f>
        <v/>
      </c>
      <c r="U9" s="57">
        <f>Q9-P9-R9-S9</f>
        <v/>
      </c>
      <c r="V9" s="21">
        <f>U9/P9</f>
        <v/>
      </c>
      <c r="W9" s="59">
        <f>T9-U9</f>
        <v/>
      </c>
    </row>
    <row r="10">
      <c r="A10" s="23" t="n">
        <v>3627</v>
      </c>
      <c r="B10" s="9" t="n">
        <v>46251</v>
      </c>
      <c r="C10" s="10" t="inlineStr">
        <is>
          <t>IPSEMG</t>
        </is>
      </c>
      <c r="D10" s="10" t="inlineStr">
        <is>
          <t>Etiqueta</t>
        </is>
      </c>
      <c r="E10" s="10" t="inlineStr">
        <is>
          <t>ETCOU10085</t>
        </is>
      </c>
      <c r="F10" s="11" t="n">
        <v>20</v>
      </c>
      <c r="G10" s="12" t="n">
        <v>100</v>
      </c>
      <c r="H10" s="12" t="n">
        <v>85</v>
      </c>
      <c r="I10" s="12">
        <f>((G10+6)*(H10+3))/1000000</f>
        <v/>
      </c>
      <c r="J10" s="12" t="n">
        <v>3.26</v>
      </c>
      <c r="K10" s="12" t="n">
        <v>0.34</v>
      </c>
      <c r="L10" s="12" t="n">
        <v>500</v>
      </c>
      <c r="M10" s="53">
        <f>(I10*J10*L10)+K10</f>
        <v/>
      </c>
      <c r="N10" s="60" t="n">
        <v>14.85</v>
      </c>
      <c r="O10" s="15">
        <f>N10/M10</f>
        <v/>
      </c>
      <c r="P10" s="55">
        <f>F10*N10</f>
        <v/>
      </c>
      <c r="Q10" s="17" t="n">
        <v>492</v>
      </c>
      <c r="R10" s="56" t="n">
        <v>10</v>
      </c>
      <c r="S10" s="57">
        <f>Q10*0.0919</f>
        <v/>
      </c>
      <c r="T10" s="58">
        <f>Q10-((M10*F10)+R10+S10)</f>
        <v/>
      </c>
      <c r="U10" s="57">
        <f>Q10-P10-R10-S10</f>
        <v/>
      </c>
      <c r="V10" s="21">
        <f>U10/P10</f>
        <v/>
      </c>
      <c r="W10" s="59">
        <f>T10-U10</f>
        <v/>
      </c>
    </row>
    <row r="11">
      <c r="A11" s="23" t="n">
        <v>3616</v>
      </c>
      <c r="B11" s="9" t="n">
        <v>46246</v>
      </c>
      <c r="C11" s="10" t="inlineStr">
        <is>
          <t>NUTRISANTOS</t>
        </is>
      </c>
      <c r="D11" s="10" t="inlineStr">
        <is>
          <t>Etiqueta</t>
        </is>
      </c>
      <c r="E11" s="10" t="inlineStr">
        <is>
          <t>BOPP10050</t>
        </is>
      </c>
      <c r="F11" s="11" t="n">
        <v>40</v>
      </c>
      <c r="G11" s="12" t="n">
        <v>100</v>
      </c>
      <c r="H11" s="12" t="n">
        <v>50</v>
      </c>
      <c r="I11" s="12">
        <f>((G11+6)*(H11+3))/1000000</f>
        <v/>
      </c>
      <c r="J11" s="12" t="n">
        <v>4.17</v>
      </c>
      <c r="K11" s="12" t="n">
        <v>1.32</v>
      </c>
      <c r="L11" s="12" t="n">
        <v>1500</v>
      </c>
      <c r="M11" s="53">
        <f>(I11*J11*L11)+K11</f>
        <v/>
      </c>
      <c r="N11" s="60" t="n">
        <v>36.2</v>
      </c>
      <c r="O11" s="15">
        <f>N11/M11</f>
        <v/>
      </c>
      <c r="P11" s="55">
        <f>F11*N11</f>
        <v/>
      </c>
      <c r="Q11" s="17" t="n">
        <v>2139.1</v>
      </c>
      <c r="R11" s="56" t="n">
        <v>0</v>
      </c>
      <c r="S11" s="57">
        <f>Q11*0.0919</f>
        <v/>
      </c>
      <c r="T11" s="58">
        <f>Q11-((M11*F11)+R11+S11)</f>
        <v/>
      </c>
      <c r="U11" s="57">
        <f>Q11-P11-R11-S11</f>
        <v/>
      </c>
      <c r="V11" s="21">
        <f>U11/P11</f>
        <v/>
      </c>
      <c r="W11" s="59">
        <f>T11-U11</f>
        <v/>
      </c>
    </row>
    <row r="12">
      <c r="A12" s="23" t="n">
        <v>3627</v>
      </c>
      <c r="B12" s="9" t="n"/>
      <c r="C12" s="10" t="inlineStr">
        <is>
          <t>IPSEMG</t>
        </is>
      </c>
      <c r="D12" s="10" t="inlineStr">
        <is>
          <t>Etiqueta</t>
        </is>
      </c>
      <c r="E12" s="10" t="inlineStr">
        <is>
          <t>ETCOU4833</t>
        </is>
      </c>
      <c r="F12" s="11" t="n">
        <v>20</v>
      </c>
      <c r="G12" s="12" t="n">
        <v>48</v>
      </c>
      <c r="H12" s="12" t="n">
        <v>33</v>
      </c>
      <c r="I12" s="12">
        <f>((G12+6)*(H12+3))/1000000</f>
        <v/>
      </c>
      <c r="J12" s="12" t="n">
        <v>3.26</v>
      </c>
      <c r="K12" s="12" t="n">
        <v>0.24</v>
      </c>
      <c r="L12" s="12" t="n">
        <v>2500</v>
      </c>
      <c r="M12" s="53">
        <f>(I12*J12*L12)+K12</f>
        <v/>
      </c>
      <c r="N12" s="60" t="n">
        <v>15.81</v>
      </c>
      <c r="O12" s="15">
        <f>N12/M12</f>
        <v/>
      </c>
      <c r="P12" s="55">
        <f>F12*N12</f>
        <v/>
      </c>
      <c r="Q12" s="17" t="n">
        <v>552.2</v>
      </c>
      <c r="R12" s="56" t="n">
        <v>10</v>
      </c>
      <c r="S12" s="57">
        <f>Q12*0.0919</f>
        <v/>
      </c>
      <c r="T12" s="58">
        <f>Q12-((M12*F12)+R12+S12)</f>
        <v/>
      </c>
      <c r="U12" s="57">
        <f>Q12-P12-R12-S12</f>
        <v/>
      </c>
      <c r="V12" s="21">
        <f>U12/P12</f>
        <v/>
      </c>
      <c r="W12" s="59">
        <f>T12-U12</f>
        <v/>
      </c>
    </row>
    <row r="13">
      <c r="A13" s="23" t="n">
        <v>3637</v>
      </c>
      <c r="B13" s="9" t="n">
        <v>46260</v>
      </c>
      <c r="C13" s="10" t="inlineStr">
        <is>
          <t>NUTRISANTOS</t>
        </is>
      </c>
      <c r="D13" s="10" t="inlineStr">
        <is>
          <t>Etiqueta</t>
        </is>
      </c>
      <c r="E13" s="10" t="inlineStr">
        <is>
          <t>BOPP10050</t>
        </is>
      </c>
      <c r="F13" s="11" t="n">
        <v>40</v>
      </c>
      <c r="G13" s="12" t="n">
        <v>100</v>
      </c>
      <c r="H13" s="12" t="n">
        <v>50</v>
      </c>
      <c r="I13" s="12">
        <f>((G13+6)*(H13+3))/1000000</f>
        <v/>
      </c>
      <c r="J13" s="12" t="n">
        <v>4.17</v>
      </c>
      <c r="K13" s="12" t="n">
        <v>1.32</v>
      </c>
      <c r="L13" s="12" t="n">
        <v>1500</v>
      </c>
      <c r="M13" s="53">
        <f>(I13*J13*L13)+K13</f>
        <v/>
      </c>
      <c r="N13" s="60" t="n">
        <v>36.4</v>
      </c>
      <c r="O13" s="15">
        <f>N13/M13</f>
        <v/>
      </c>
      <c r="P13" s="55">
        <f>F13*N13</f>
        <v/>
      </c>
      <c r="Q13" s="17" t="n">
        <v>1992.4</v>
      </c>
      <c r="R13" s="56" t="n">
        <v>0</v>
      </c>
      <c r="S13" s="57">
        <f>Q13*0.0919</f>
        <v/>
      </c>
      <c r="T13" s="58">
        <f>Q13-((M13*F13)+R13+S13)</f>
        <v/>
      </c>
      <c r="U13" s="57">
        <f>Q13-P13-R13-S13</f>
        <v/>
      </c>
      <c r="V13" s="21">
        <f>U13/P13</f>
        <v/>
      </c>
      <c r="W13" s="59">
        <f>T13-U13</f>
        <v/>
      </c>
    </row>
    <row r="14">
      <c r="A14" s="8" t="n">
        <v>1184</v>
      </c>
      <c r="B14" s="9" t="n">
        <v>46251</v>
      </c>
      <c r="C14" s="10" t="inlineStr">
        <is>
          <t>TRIUNFO</t>
        </is>
      </c>
      <c r="D14" s="10" t="inlineStr">
        <is>
          <t>Etiqueta</t>
        </is>
      </c>
      <c r="E14" s="10" t="inlineStr">
        <is>
          <t>TER100x50T1</t>
        </is>
      </c>
      <c r="F14" s="11" t="n">
        <v>20</v>
      </c>
      <c r="G14" s="12" t="n">
        <v>100</v>
      </c>
      <c r="H14" s="12" t="n">
        <v>50</v>
      </c>
      <c r="I14" s="12">
        <f>((G14+6)*(H14+3))/1000000</f>
        <v/>
      </c>
      <c r="J14" s="12" t="n">
        <v>3.6</v>
      </c>
      <c r="K14" s="12" t="n">
        <v>0.34</v>
      </c>
      <c r="L14" s="12" t="n">
        <v>800</v>
      </c>
      <c r="M14" s="53">
        <f>(I14*J14*L14)+K14</f>
        <v/>
      </c>
      <c r="N14" s="60" t="n">
        <v>16.42</v>
      </c>
      <c r="O14" s="15">
        <f>N14/M14</f>
        <v/>
      </c>
      <c r="P14" s="55">
        <f>F14*N14</f>
        <v/>
      </c>
      <c r="Q14" s="17" t="n">
        <v>733.4</v>
      </c>
      <c r="R14" s="56" t="n">
        <v>40</v>
      </c>
      <c r="S14" s="57">
        <f>Q14*0.0919</f>
        <v/>
      </c>
      <c r="T14" s="58">
        <f>Q14-((M14*F14)+R14+S14)</f>
        <v/>
      </c>
      <c r="U14" s="57">
        <f>Q14-P14-R14-S14</f>
        <v/>
      </c>
      <c r="V14" s="21">
        <f>U14/P14</f>
        <v/>
      </c>
      <c r="W14" s="59">
        <f>T14-U14</f>
        <v/>
      </c>
    </row>
    <row r="15">
      <c r="A15" s="11" t="n">
        <v>3599</v>
      </c>
      <c r="B15" s="9" t="n">
        <v>46238</v>
      </c>
      <c r="C15" s="10" t="inlineStr">
        <is>
          <t>SUPREMO CARNES - CHAGAS</t>
        </is>
      </c>
      <c r="D15" s="10" t="inlineStr">
        <is>
          <t>Ribbon</t>
        </is>
      </c>
      <c r="E15" s="10" t="inlineStr">
        <is>
          <t>301301/83</t>
        </is>
      </c>
      <c r="F15" s="11" t="n">
        <v>24</v>
      </c>
      <c r="G15" s="12" t="n"/>
      <c r="H15" s="12" t="n"/>
      <c r="I15" s="12" t="n"/>
      <c r="J15" s="12" t="n"/>
      <c r="K15" s="12" t="n"/>
      <c r="L15" s="12" t="n"/>
      <c r="M15" s="12" t="n"/>
      <c r="N15" s="60" t="n">
        <v>26.4</v>
      </c>
      <c r="O15" s="60" t="n"/>
      <c r="P15" s="55">
        <f>F15*N15</f>
        <v/>
      </c>
      <c r="Q15" s="17" t="n">
        <v>958.08</v>
      </c>
      <c r="R15" s="56" t="n">
        <v>15</v>
      </c>
      <c r="S15" s="57">
        <f>Q15*0.0919</f>
        <v/>
      </c>
      <c r="T15" s="62">
        <f>U15</f>
        <v/>
      </c>
      <c r="U15" s="63">
        <f>Q15-P15-R15-S15</f>
        <v/>
      </c>
      <c r="V15" s="21">
        <f>U15/P15</f>
        <v/>
      </c>
      <c r="W15" s="59">
        <f>T15-U15</f>
        <v/>
      </c>
    </row>
    <row r="16">
      <c r="A16" s="11" t="n">
        <v>3599</v>
      </c>
      <c r="B16" s="9" t="n"/>
      <c r="C16" s="10" t="n"/>
      <c r="D16" s="10" t="inlineStr">
        <is>
          <t>Ribbon</t>
        </is>
      </c>
      <c r="E16" s="10" t="inlineStr">
        <is>
          <t>300445/110</t>
        </is>
      </c>
      <c r="F16" s="11" t="n">
        <v>24</v>
      </c>
      <c r="G16" s="12" t="n"/>
      <c r="H16" s="12" t="n"/>
      <c r="I16" s="12" t="n"/>
      <c r="J16" s="12" t="n"/>
      <c r="K16" s="12" t="n"/>
      <c r="L16" s="12" t="n"/>
      <c r="M16" s="12" t="n"/>
      <c r="N16" s="60" t="n">
        <v>33.6</v>
      </c>
      <c r="O16" s="60" t="n"/>
      <c r="P16" s="64">
        <f>F16*N16</f>
        <v/>
      </c>
      <c r="Q16" s="29" t="n">
        <v>1201.2</v>
      </c>
      <c r="R16" s="56" t="n">
        <v>10</v>
      </c>
      <c r="S16" s="57">
        <f>Q16*0.0919</f>
        <v/>
      </c>
      <c r="T16" s="62">
        <f>U16</f>
        <v/>
      </c>
      <c r="U16" s="63">
        <f>Q16-P16-R16-S16</f>
        <v/>
      </c>
      <c r="V16" s="21">
        <f>U16/P16</f>
        <v/>
      </c>
      <c r="W16" s="59">
        <f>T16-U16</f>
        <v/>
      </c>
    </row>
    <row r="17">
      <c r="A17" s="11" t="n">
        <v>3600</v>
      </c>
      <c r="B17" s="9" t="n">
        <v>46238</v>
      </c>
      <c r="C17" s="10" t="inlineStr">
        <is>
          <t>RARO</t>
        </is>
      </c>
      <c r="D17" s="10" t="inlineStr">
        <is>
          <t>Ribbon</t>
        </is>
      </c>
      <c r="E17" s="10" t="inlineStr">
        <is>
          <t>300445/110</t>
        </is>
      </c>
      <c r="F17" s="11" t="n">
        <v>30</v>
      </c>
      <c r="G17" s="12" t="n"/>
      <c r="H17" s="12" t="n"/>
      <c r="I17" s="12" t="n"/>
      <c r="J17" s="12" t="n"/>
      <c r="K17" s="12" t="n"/>
      <c r="L17" s="12" t="n"/>
      <c r="M17" s="12" t="n"/>
      <c r="N17" s="60" t="n">
        <v>33.6</v>
      </c>
      <c r="O17" s="60" t="n"/>
      <c r="P17" s="55">
        <f>F17*N17</f>
        <v/>
      </c>
      <c r="Q17" s="17" t="n">
        <v>1475.4</v>
      </c>
      <c r="R17" s="56" t="n">
        <v>60</v>
      </c>
      <c r="S17" s="57">
        <f>Q17*0.0919</f>
        <v/>
      </c>
      <c r="T17" s="62">
        <f>U17</f>
        <v/>
      </c>
      <c r="U17" s="63">
        <f>Q17-P17-R17-S17</f>
        <v/>
      </c>
      <c r="V17" s="21">
        <f>U17/P17</f>
        <v/>
      </c>
      <c r="W17" s="59">
        <f>T17-U17</f>
        <v/>
      </c>
    </row>
    <row r="18">
      <c r="A18" s="11" t="n">
        <v>3601</v>
      </c>
      <c r="B18" s="9" t="n">
        <v>46238</v>
      </c>
      <c r="C18" s="10" t="inlineStr">
        <is>
          <t>GAVAZZA</t>
        </is>
      </c>
      <c r="D18" s="10" t="inlineStr">
        <is>
          <t>Ribbon</t>
        </is>
      </c>
      <c r="E18" s="10" t="inlineStr">
        <is>
          <t>P11074108</t>
        </is>
      </c>
      <c r="F18" s="11" t="n">
        <v>120</v>
      </c>
      <c r="G18" s="12" t="n"/>
      <c r="H18" s="12" t="n"/>
      <c r="I18" s="12" t="n"/>
      <c r="J18" s="12" t="n"/>
      <c r="K18" s="12" t="n"/>
      <c r="L18" s="12" t="n"/>
      <c r="M18" s="12" t="n"/>
      <c r="N18" s="60" t="n">
        <v>2.64</v>
      </c>
      <c r="O18" s="60" t="n"/>
      <c r="P18" s="64">
        <f>F18*N18</f>
        <v/>
      </c>
      <c r="Q18" s="29" t="n">
        <v>554.4</v>
      </c>
      <c r="R18" s="56" t="n">
        <v>59.74</v>
      </c>
      <c r="S18" s="57">
        <f>Q18*0.0919</f>
        <v/>
      </c>
      <c r="T18" s="62">
        <f>U18</f>
        <v/>
      </c>
      <c r="U18" s="63">
        <f>Q18-P18-R18-S18</f>
        <v/>
      </c>
      <c r="V18" s="21">
        <f>U18/P18</f>
        <v/>
      </c>
      <c r="W18" s="59">
        <f>T18-U18</f>
        <v/>
      </c>
    </row>
    <row r="19">
      <c r="A19" s="11" t="n">
        <v>3603</v>
      </c>
      <c r="B19" s="9" t="n"/>
      <c r="C19" s="10" t="n"/>
      <c r="D19" s="10" t="inlineStr">
        <is>
          <t>Ribbon</t>
        </is>
      </c>
      <c r="E19" s="10" t="inlineStr">
        <is>
          <t>P6474200</t>
        </is>
      </c>
      <c r="F19" s="11" t="n">
        <v>65</v>
      </c>
      <c r="G19" s="12" t="n"/>
      <c r="H19" s="12" t="n"/>
      <c r="I19" s="12" t="n"/>
      <c r="J19" s="12" t="n"/>
      <c r="K19" s="12" t="n"/>
      <c r="L19" s="12" t="n"/>
      <c r="M19" s="12" t="n"/>
      <c r="N19" s="25" t="n">
        <v>4.41</v>
      </c>
      <c r="O19" s="25" t="n"/>
      <c r="P19" s="65">
        <f>F19*N19</f>
        <v/>
      </c>
      <c r="Q19" s="31" t="n">
        <v>499.85</v>
      </c>
      <c r="R19" s="56" t="n">
        <v>0</v>
      </c>
      <c r="S19" s="57">
        <f>Q19*0.0919</f>
        <v/>
      </c>
      <c r="T19" s="62">
        <f>U19</f>
        <v/>
      </c>
      <c r="U19" s="57">
        <f>Q19-P19-R19-S19</f>
        <v/>
      </c>
      <c r="V19" s="21">
        <f>U19/P19</f>
        <v/>
      </c>
      <c r="W19" s="59">
        <f>T19-U19</f>
        <v/>
      </c>
    </row>
    <row r="20">
      <c r="A20" s="11" t="n">
        <v>3604</v>
      </c>
      <c r="B20" s="9" t="n">
        <v>46240</v>
      </c>
      <c r="C20" s="10" t="inlineStr">
        <is>
          <t>PROFARMA PR</t>
        </is>
      </c>
      <c r="D20" s="10" t="inlineStr">
        <is>
          <t>Ribbon</t>
        </is>
      </c>
      <c r="E20" s="10" t="inlineStr">
        <is>
          <t>P11074108</t>
        </is>
      </c>
      <c r="F20" s="11" t="n">
        <v>288</v>
      </c>
      <c r="G20" s="12" t="n"/>
      <c r="H20" s="12" t="n"/>
      <c r="I20" s="12" t="n"/>
      <c r="J20" s="12" t="n"/>
      <c r="K20" s="12" t="n"/>
      <c r="L20" s="12" t="n"/>
      <c r="M20" s="12" t="n"/>
      <c r="N20" s="60" t="n">
        <v>2.66</v>
      </c>
      <c r="O20" s="60" t="n"/>
      <c r="P20" s="65">
        <f>F20*N20</f>
        <v/>
      </c>
      <c r="Q20" s="31" t="n">
        <v>1673.28</v>
      </c>
      <c r="R20" s="56" t="n">
        <v>150.92</v>
      </c>
      <c r="S20" s="57">
        <f>Q20*0.0919</f>
        <v/>
      </c>
      <c r="T20" s="62">
        <f>U20</f>
        <v/>
      </c>
      <c r="U20" s="57">
        <f>Q20-P20-R20-S20</f>
        <v/>
      </c>
      <c r="V20" s="21">
        <f>U20/P20</f>
        <v/>
      </c>
      <c r="W20" s="59">
        <f>T20-U20</f>
        <v/>
      </c>
    </row>
    <row r="21">
      <c r="A21" s="11" t="n">
        <v>3605</v>
      </c>
      <c r="B21" s="9" t="n">
        <v>46240</v>
      </c>
      <c r="C21" s="10" t="inlineStr">
        <is>
          <t>HOSPITAL SUMARÉ</t>
        </is>
      </c>
      <c r="D21" s="10" t="inlineStr">
        <is>
          <t>Ribbon</t>
        </is>
      </c>
      <c r="E21" s="10" t="inlineStr">
        <is>
          <t>300120/110</t>
        </is>
      </c>
      <c r="F21" s="11" t="n">
        <v>4</v>
      </c>
      <c r="G21" s="12" t="n"/>
      <c r="H21" s="12" t="n"/>
      <c r="I21" s="12" t="n"/>
      <c r="J21" s="12" t="n"/>
      <c r="K21" s="12" t="n"/>
      <c r="L21" s="12" t="n"/>
      <c r="M21" s="12" t="n"/>
      <c r="N21" s="60" t="n">
        <v>9.289999999999999</v>
      </c>
      <c r="O21" s="60" t="n"/>
      <c r="P21" s="65">
        <f>F21*N21</f>
        <v/>
      </c>
      <c r="Q21" s="31" t="n">
        <v>51.16</v>
      </c>
      <c r="R21" s="56" t="n">
        <v>0</v>
      </c>
      <c r="S21" s="57">
        <f>Q21*0.0919</f>
        <v/>
      </c>
      <c r="T21" s="62">
        <f>U21</f>
        <v/>
      </c>
      <c r="U21" s="57">
        <f>Q21-P21-R21-S21</f>
        <v/>
      </c>
      <c r="V21" s="21">
        <f>U21/P21</f>
        <v/>
      </c>
      <c r="W21" s="59">
        <f>T21-U21</f>
        <v/>
      </c>
    </row>
    <row r="22">
      <c r="A22" s="11" t="n">
        <v>3605</v>
      </c>
      <c r="B22" s="9" t="n"/>
      <c r="C22" s="10" t="n"/>
      <c r="D22" s="10" t="inlineStr">
        <is>
          <t>Ribbon</t>
        </is>
      </c>
      <c r="E22" s="10" t="inlineStr">
        <is>
          <t>300443/110</t>
        </is>
      </c>
      <c r="F22" s="11" t="n">
        <v>32</v>
      </c>
      <c r="G22" s="12" t="n"/>
      <c r="H22" s="12" t="n"/>
      <c r="I22" s="12" t="n"/>
      <c r="J22" s="12" t="n"/>
      <c r="K22" s="12" t="n"/>
      <c r="L22" s="12" t="n"/>
      <c r="M22" s="12" t="n"/>
      <c r="N22" s="25" t="n">
        <v>15</v>
      </c>
      <c r="O22" s="25" t="n"/>
      <c r="P22" s="65">
        <f>F22*N22</f>
        <v/>
      </c>
      <c r="Q22" s="31" t="n">
        <v>765.76</v>
      </c>
      <c r="R22" s="56" t="n">
        <v>64.13</v>
      </c>
      <c r="S22" s="57">
        <f>Q22*0.0919</f>
        <v/>
      </c>
      <c r="T22" s="62">
        <f>U22</f>
        <v/>
      </c>
      <c r="U22" s="57">
        <f>Q22-P22-R22-S22</f>
        <v/>
      </c>
      <c r="V22" s="21">
        <f>U22/P22</f>
        <v/>
      </c>
      <c r="W22" s="59">
        <f>T22-U22</f>
        <v/>
      </c>
    </row>
    <row r="23">
      <c r="A23" s="11" t="n">
        <v>3606</v>
      </c>
      <c r="B23" s="9" t="n">
        <v>46244</v>
      </c>
      <c r="C23" s="10" t="inlineStr">
        <is>
          <t>PROFARMA PR</t>
        </is>
      </c>
      <c r="D23" s="10" t="inlineStr">
        <is>
          <t>Ribbon</t>
        </is>
      </c>
      <c r="E23" s="10" t="inlineStr">
        <is>
          <t>P110450108</t>
        </is>
      </c>
      <c r="F23" s="11" t="n">
        <v>150</v>
      </c>
      <c r="G23" s="12" t="n"/>
      <c r="H23" s="12" t="n"/>
      <c r="I23" s="12" t="n"/>
      <c r="J23" s="12" t="n"/>
      <c r="K23" s="12" t="n"/>
      <c r="L23" s="12" t="n"/>
      <c r="M23" s="12" t="n"/>
      <c r="N23" s="60" t="n">
        <v>14.3</v>
      </c>
      <c r="O23" s="60" t="n"/>
      <c r="P23" s="55">
        <f>F23*N23</f>
        <v/>
      </c>
      <c r="Q23" s="17" t="n">
        <v>3529.5</v>
      </c>
      <c r="R23" s="56" t="n">
        <v>283.77</v>
      </c>
      <c r="S23" s="57">
        <f>Q23*0.0919</f>
        <v/>
      </c>
      <c r="T23" s="62">
        <f>U23</f>
        <v/>
      </c>
      <c r="U23" s="57">
        <f>Q23-P23-R23-S23</f>
        <v/>
      </c>
      <c r="V23" s="21">
        <f>U23/P23</f>
        <v/>
      </c>
      <c r="W23" s="59">
        <f>T23-U23</f>
        <v/>
      </c>
    </row>
    <row r="24">
      <c r="A24" s="11" t="n">
        <v>3607</v>
      </c>
      <c r="B24" s="9" t="n">
        <v>46244</v>
      </c>
      <c r="C24" s="10" t="inlineStr">
        <is>
          <t>SUPREMO CARNES - IBIRITÉ</t>
        </is>
      </c>
      <c r="D24" s="10" t="inlineStr">
        <is>
          <t>Ribbon</t>
        </is>
      </c>
      <c r="E24" s="10" t="inlineStr">
        <is>
          <t>300276/110</t>
        </is>
      </c>
      <c r="F24" s="11" t="n">
        <v>24</v>
      </c>
      <c r="G24" s="12" t="n"/>
      <c r="H24" s="12" t="n"/>
      <c r="I24" s="12" t="n"/>
      <c r="J24" s="12" t="n"/>
      <c r="K24" s="12" t="n"/>
      <c r="L24" s="12" t="n"/>
      <c r="M24" s="12" t="n"/>
      <c r="N24" s="25" t="n">
        <v>21.96</v>
      </c>
      <c r="O24" s="25" t="n"/>
      <c r="P24" s="65">
        <f>F24*N24</f>
        <v/>
      </c>
      <c r="Q24" s="31" t="n">
        <v>799.92</v>
      </c>
      <c r="R24" s="56" t="n">
        <v>60</v>
      </c>
      <c r="S24" s="57">
        <f>Q24*0.0919</f>
        <v/>
      </c>
      <c r="T24" s="62">
        <f>U24</f>
        <v/>
      </c>
      <c r="U24" s="57">
        <f>Q24-P24-R24-S24</f>
        <v/>
      </c>
      <c r="V24" s="21">
        <f>U24/P24</f>
        <v/>
      </c>
      <c r="W24" s="59">
        <f>T24-U24</f>
        <v/>
      </c>
    </row>
    <row r="25">
      <c r="A25" s="11" t="n">
        <v>3608</v>
      </c>
      <c r="B25" s="9" t="n">
        <v>46244</v>
      </c>
      <c r="C25" s="10" t="inlineStr">
        <is>
          <t>PROFARMA RJ</t>
        </is>
      </c>
      <c r="D25" s="10" t="inlineStr">
        <is>
          <t>Ribbon</t>
        </is>
      </c>
      <c r="E25" s="10" t="inlineStr">
        <is>
          <t>P110450108</t>
        </is>
      </c>
      <c r="F25" s="11" t="n">
        <v>200</v>
      </c>
      <c r="G25" s="12" t="n"/>
      <c r="H25" s="12" t="n"/>
      <c r="I25" s="12" t="n"/>
      <c r="J25" s="12" t="n"/>
      <c r="K25" s="12" t="n"/>
      <c r="L25" s="12" t="n"/>
      <c r="M25" s="12" t="n"/>
      <c r="N25" s="60" t="n">
        <v>14.3</v>
      </c>
      <c r="O25" s="60" t="n"/>
      <c r="P25" s="55">
        <f>F25*N25</f>
        <v/>
      </c>
      <c r="Q25" s="17" t="n">
        <v>4706</v>
      </c>
      <c r="R25" s="56" t="n">
        <v>389.97</v>
      </c>
      <c r="S25" s="57">
        <f>Q25*0.0919</f>
        <v/>
      </c>
      <c r="T25" s="62">
        <f>U25</f>
        <v/>
      </c>
      <c r="U25" s="57">
        <f>Q25-P25-R25-S25</f>
        <v/>
      </c>
      <c r="V25" s="21">
        <f>U25/P25</f>
        <v/>
      </c>
      <c r="W25" s="59">
        <f>T25-U25</f>
        <v/>
      </c>
    </row>
    <row r="26">
      <c r="A26" s="11" t="n">
        <v>3609</v>
      </c>
      <c r="B26" s="9" t="n">
        <v>46245</v>
      </c>
      <c r="C26" s="10" t="inlineStr">
        <is>
          <t>PROFARM RS</t>
        </is>
      </c>
      <c r="D26" s="10" t="inlineStr">
        <is>
          <t>Ribbon</t>
        </is>
      </c>
      <c r="E26" s="10" t="inlineStr">
        <is>
          <t>P110450108</t>
        </is>
      </c>
      <c r="F26" s="11" t="n">
        <v>140</v>
      </c>
      <c r="G26" s="12" t="n"/>
      <c r="H26" s="12" t="n"/>
      <c r="I26" s="12" t="n"/>
      <c r="J26" s="12" t="n"/>
      <c r="K26" s="12" t="n"/>
      <c r="L26" s="12" t="n"/>
      <c r="M26" s="12" t="n"/>
      <c r="N26" s="60" t="n">
        <v>14.3</v>
      </c>
      <c r="O26" s="60" t="n"/>
      <c r="P26" s="55">
        <f>F26*N26</f>
        <v/>
      </c>
      <c r="Q26" s="17" t="n">
        <v>3294.2</v>
      </c>
      <c r="R26" s="56" t="n">
        <v>490.72</v>
      </c>
      <c r="S26" s="57">
        <f>Q26*0.0919</f>
        <v/>
      </c>
      <c r="T26" s="62">
        <f>U26</f>
        <v/>
      </c>
      <c r="U26" s="57">
        <f>Q26-P26-R26-S26</f>
        <v/>
      </c>
      <c r="V26" s="21">
        <f>U26/P26</f>
        <v/>
      </c>
      <c r="W26" s="59">
        <f>T26-U26</f>
        <v/>
      </c>
    </row>
    <row r="27">
      <c r="A27" s="11" t="n">
        <v>3613</v>
      </c>
      <c r="B27" s="9" t="n">
        <v>46245</v>
      </c>
      <c r="C27" s="10" t="inlineStr">
        <is>
          <t>BMB BELGO</t>
        </is>
      </c>
      <c r="D27" s="10" t="inlineStr">
        <is>
          <t>Ribbon</t>
        </is>
      </c>
      <c r="E27" s="10" t="inlineStr">
        <is>
          <t>P110450108</t>
        </is>
      </c>
      <c r="F27" s="11" t="n">
        <v>48</v>
      </c>
      <c r="G27" s="12" t="n"/>
      <c r="H27" s="12" t="n"/>
      <c r="I27" s="12" t="n"/>
      <c r="J27" s="12" t="n"/>
      <c r="K27" s="12" t="n"/>
      <c r="L27" s="12" t="n"/>
      <c r="M27" s="12" t="n"/>
      <c r="N27" s="60" t="n">
        <v>14.3</v>
      </c>
      <c r="O27" s="60" t="n"/>
      <c r="P27" s="55">
        <f>F27*N27</f>
        <v/>
      </c>
      <c r="Q27" s="17" t="n">
        <v>1290.72</v>
      </c>
      <c r="R27" s="56" t="n">
        <v>0</v>
      </c>
      <c r="S27" s="57">
        <f>Q27*0.0919</f>
        <v/>
      </c>
      <c r="T27" s="62">
        <f>U27</f>
        <v/>
      </c>
      <c r="U27" s="57">
        <f>Q27-P27-R27-S27</f>
        <v/>
      </c>
      <c r="V27" s="21">
        <f>U27/P27</f>
        <v/>
      </c>
      <c r="W27" s="59">
        <f>T27-U27</f>
        <v/>
      </c>
    </row>
    <row r="28">
      <c r="A28" s="11" t="n">
        <v>3614</v>
      </c>
      <c r="B28" s="9" t="n">
        <v>46246</v>
      </c>
      <c r="C28" s="10" t="inlineStr">
        <is>
          <t>ALS BRASIL</t>
        </is>
      </c>
      <c r="D28" s="10" t="inlineStr">
        <is>
          <t>Ribbon</t>
        </is>
      </c>
      <c r="E28" s="10" t="inlineStr">
        <is>
          <t>T65053IO</t>
        </is>
      </c>
      <c r="F28" s="11" t="n">
        <v>30</v>
      </c>
      <c r="G28" s="12" t="n"/>
      <c r="H28" s="12" t="n"/>
      <c r="I28" s="12" t="n"/>
      <c r="J28" s="12" t="n"/>
      <c r="K28" s="12" t="n"/>
      <c r="L28" s="12" t="n"/>
      <c r="M28" s="12" t="n"/>
      <c r="N28" s="60" t="n">
        <v>18.84</v>
      </c>
      <c r="O28" s="60" t="n"/>
      <c r="P28" s="55">
        <f>F28*N28</f>
        <v/>
      </c>
      <c r="Q28" s="17" t="n">
        <v>911.7</v>
      </c>
      <c r="R28" s="56" t="n">
        <v>49.89</v>
      </c>
      <c r="S28" s="57">
        <f>Q28*0.0919</f>
        <v/>
      </c>
      <c r="T28" s="62">
        <f>U28</f>
        <v/>
      </c>
      <c r="U28" s="57">
        <f>Q28-P28-R28-S28</f>
        <v/>
      </c>
      <c r="V28" s="21">
        <f>U28/P28</f>
        <v/>
      </c>
      <c r="W28" s="59">
        <f>T28-U28</f>
        <v/>
      </c>
    </row>
    <row r="29">
      <c r="A29" s="11" t="n">
        <v>3614</v>
      </c>
      <c r="B29" s="9" t="n"/>
      <c r="C29" s="10" t="n"/>
      <c r="D29" s="10" t="inlineStr">
        <is>
          <t>Ribbon</t>
        </is>
      </c>
      <c r="E29" s="10" t="inlineStr">
        <is>
          <t>T65067IO</t>
        </is>
      </c>
      <c r="F29" s="11" t="n">
        <v>30</v>
      </c>
      <c r="G29" s="12" t="n"/>
      <c r="H29" s="12" t="n"/>
      <c r="I29" s="12" t="n"/>
      <c r="J29" s="12" t="n"/>
      <c r="K29" s="12" t="n"/>
      <c r="L29" s="12" t="n"/>
      <c r="M29" s="12" t="n"/>
      <c r="N29" s="60" t="n">
        <v>10.28</v>
      </c>
      <c r="O29" s="60" t="n"/>
      <c r="P29" s="55">
        <f>F29*N29</f>
        <v/>
      </c>
      <c r="Q29" s="17" t="n">
        <v>545.7</v>
      </c>
      <c r="R29" s="56" t="n">
        <v>50</v>
      </c>
      <c r="S29" s="57">
        <f>Q29*0.0919</f>
        <v/>
      </c>
      <c r="T29" s="62">
        <f>U29</f>
        <v/>
      </c>
      <c r="U29" s="57">
        <f>Q29-P29-R29-S29</f>
        <v/>
      </c>
      <c r="V29" s="21">
        <f>U29/P29</f>
        <v/>
      </c>
      <c r="W29" s="59">
        <f>T29-U29</f>
        <v/>
      </c>
    </row>
    <row r="30">
      <c r="A30" s="11" t="n">
        <v>3616</v>
      </c>
      <c r="B30" s="9" t="n"/>
      <c r="C30" s="10" t="n"/>
      <c r="D30" s="10" t="inlineStr">
        <is>
          <t>Ribbon</t>
        </is>
      </c>
      <c r="E30" s="10" t="inlineStr">
        <is>
          <t>P11074108</t>
        </is>
      </c>
      <c r="F30" s="11" t="n">
        <v>30</v>
      </c>
      <c r="G30" s="12" t="n"/>
      <c r="H30" s="12" t="n"/>
      <c r="I30" s="12" t="n"/>
      <c r="J30" s="12" t="n"/>
      <c r="K30" s="12" t="n"/>
      <c r="L30" s="12" t="n"/>
      <c r="M30" s="12" t="n"/>
      <c r="N30" s="60" t="n">
        <v>2.64</v>
      </c>
      <c r="O30" s="60" t="n"/>
      <c r="P30" s="55">
        <f>F30*N30</f>
        <v/>
      </c>
      <c r="Q30" s="17" t="n">
        <v>2988.6</v>
      </c>
      <c r="R30" s="56" t="n">
        <v>0</v>
      </c>
      <c r="S30" s="57">
        <f>Q30*0.0919</f>
        <v/>
      </c>
      <c r="T30" s="62">
        <f>U30</f>
        <v/>
      </c>
      <c r="U30" s="57">
        <f>Q30-P30-R30-S30</f>
        <v/>
      </c>
      <c r="V30" s="21">
        <f>U30/P30</f>
        <v/>
      </c>
      <c r="W30" s="59">
        <f>T30-U30</f>
        <v/>
      </c>
    </row>
    <row r="31">
      <c r="A31" s="11" t="n">
        <v>3618</v>
      </c>
      <c r="B31" s="9" t="n">
        <v>46246</v>
      </c>
      <c r="C31" s="10" t="inlineStr">
        <is>
          <t>SUPREMO CARNES</t>
        </is>
      </c>
      <c r="D31" s="10" t="inlineStr">
        <is>
          <t>Ribbon</t>
        </is>
      </c>
      <c r="E31" s="10" t="inlineStr">
        <is>
          <t>300276/110</t>
        </is>
      </c>
      <c r="F31" s="11" t="n">
        <v>48</v>
      </c>
      <c r="G31" s="12" t="n"/>
      <c r="H31" s="12" t="n"/>
      <c r="I31" s="12" t="n"/>
      <c r="J31" s="12" t="n"/>
      <c r="K31" s="12" t="n"/>
      <c r="L31" s="12" t="n"/>
      <c r="M31" s="12" t="n"/>
      <c r="N31" s="60" t="n">
        <v>21.96</v>
      </c>
      <c r="O31" s="60" t="n"/>
      <c r="P31" s="55">
        <f>F31*N31</f>
        <v/>
      </c>
      <c r="Q31" s="17" t="n">
        <v>1599.84</v>
      </c>
      <c r="R31" s="56" t="n">
        <v>25</v>
      </c>
      <c r="S31" s="57">
        <f>Q31*0.0919</f>
        <v/>
      </c>
      <c r="T31" s="62">
        <f>U31</f>
        <v/>
      </c>
      <c r="U31" s="57">
        <f>Q31-P31-R31-S31</f>
        <v/>
      </c>
      <c r="V31" s="21">
        <f>U31/P31</f>
        <v/>
      </c>
      <c r="W31" s="59">
        <f>T31-U31</f>
        <v/>
      </c>
    </row>
    <row r="32">
      <c r="A32" s="11" t="n">
        <v>3619</v>
      </c>
      <c r="B32" s="9" t="n">
        <v>46247</v>
      </c>
      <c r="C32" s="10" t="inlineStr">
        <is>
          <t>SUPREMO CARNES</t>
        </is>
      </c>
      <c r="D32" s="10" t="inlineStr">
        <is>
          <t>Ribbon</t>
        </is>
      </c>
      <c r="E32" s="10" t="inlineStr">
        <is>
          <t>301301/83</t>
        </is>
      </c>
      <c r="F32" s="11" t="n">
        <v>144</v>
      </c>
      <c r="G32" s="12" t="n"/>
      <c r="H32" s="12" t="n"/>
      <c r="I32" s="12" t="n"/>
      <c r="J32" s="12" t="n"/>
      <c r="K32" s="12" t="n"/>
      <c r="L32" s="12" t="n"/>
      <c r="M32" s="12" t="n"/>
      <c r="N32" s="60" t="n">
        <v>25.04</v>
      </c>
      <c r="O32" s="60" t="n"/>
      <c r="P32" s="55">
        <f>F32*N32</f>
        <v/>
      </c>
      <c r="Q32" s="17" t="n">
        <v>5748.48</v>
      </c>
      <c r="R32" s="56" t="n">
        <v>90</v>
      </c>
      <c r="S32" s="57">
        <f>Q32*0.0919</f>
        <v/>
      </c>
      <c r="T32" s="62">
        <f>U32</f>
        <v/>
      </c>
      <c r="U32" s="57">
        <f>Q32-P32-R32-S32</f>
        <v/>
      </c>
      <c r="V32" s="21">
        <f>U32/P32</f>
        <v/>
      </c>
      <c r="W32" s="59">
        <f>T32-U32</f>
        <v/>
      </c>
    </row>
    <row r="33">
      <c r="A33" s="11" t="n">
        <v>3619</v>
      </c>
      <c r="B33" s="9" t="n"/>
      <c r="C33" s="10" t="n"/>
      <c r="D33" s="10" t="inlineStr">
        <is>
          <t>Ribbon</t>
        </is>
      </c>
      <c r="E33" s="10" t="inlineStr">
        <is>
          <t>300445/110</t>
        </is>
      </c>
      <c r="F33" s="11" t="n">
        <v>144</v>
      </c>
      <c r="G33" s="12" t="n"/>
      <c r="H33" s="12" t="n"/>
      <c r="I33" s="12" t="n"/>
      <c r="J33" s="12" t="n"/>
      <c r="K33" s="12" t="n"/>
      <c r="L33" s="12" t="n"/>
      <c r="M33" s="12" t="n"/>
      <c r="N33" s="60" t="n">
        <v>33.23</v>
      </c>
      <c r="O33" s="60" t="n"/>
      <c r="P33" s="55">
        <f>F33*N33</f>
        <v/>
      </c>
      <c r="Q33" s="17" t="n">
        <v>7207.2</v>
      </c>
      <c r="R33" s="56" t="n">
        <v>0</v>
      </c>
      <c r="S33" s="57">
        <f>Q33*0.0919</f>
        <v/>
      </c>
      <c r="T33" s="62">
        <f>U33</f>
        <v/>
      </c>
      <c r="U33" s="57">
        <f>Q33-P33-R33-S33</f>
        <v/>
      </c>
      <c r="V33" s="21">
        <f>U33/P33</f>
        <v/>
      </c>
      <c r="W33" s="59">
        <f>T33-U33</f>
        <v/>
      </c>
    </row>
    <row r="34">
      <c r="A34" s="11" t="n">
        <v>3620</v>
      </c>
      <c r="B34" s="9" t="n">
        <v>46247</v>
      </c>
      <c r="C34" s="10" t="inlineStr">
        <is>
          <t>SUPREMO CARNES</t>
        </is>
      </c>
      <c r="D34" s="10" t="inlineStr">
        <is>
          <t>Ribbon</t>
        </is>
      </c>
      <c r="E34" s="10" t="inlineStr">
        <is>
          <t>301301/83</t>
        </is>
      </c>
      <c r="F34" s="11" t="n">
        <v>72</v>
      </c>
      <c r="G34" s="12" t="n"/>
      <c r="H34" s="12" t="n"/>
      <c r="I34" s="12" t="n"/>
      <c r="J34" s="12" t="n"/>
      <c r="K34" s="12" t="n"/>
      <c r="L34" s="12" t="n"/>
      <c r="M34" s="12" t="n"/>
      <c r="N34" s="60" t="n">
        <v>25.04</v>
      </c>
      <c r="O34" s="60" t="n"/>
      <c r="P34" s="55">
        <f>F34*N34</f>
        <v/>
      </c>
      <c r="Q34" s="17" t="n">
        <v>2874.24</v>
      </c>
      <c r="R34" s="56" t="n">
        <v>90</v>
      </c>
      <c r="S34" s="57">
        <f>Q34*0.0919</f>
        <v/>
      </c>
      <c r="T34" s="62">
        <f>U34</f>
        <v/>
      </c>
      <c r="U34" s="57">
        <f>Q34-P34-R34-S34</f>
        <v/>
      </c>
      <c r="V34" s="21">
        <f>U34/P34</f>
        <v/>
      </c>
      <c r="W34" s="59">
        <f>T34-U34</f>
        <v/>
      </c>
    </row>
    <row r="35">
      <c r="A35" s="11" t="n">
        <v>3621</v>
      </c>
      <c r="B35" s="9" t="n">
        <v>46247</v>
      </c>
      <c r="C35" s="10" t="inlineStr">
        <is>
          <t>RARO</t>
        </is>
      </c>
      <c r="D35" s="10" t="inlineStr">
        <is>
          <t>Ribbon</t>
        </is>
      </c>
      <c r="E35" s="10" t="inlineStr">
        <is>
          <t>300445/110</t>
        </is>
      </c>
      <c r="F35" s="11" t="n">
        <v>114</v>
      </c>
      <c r="G35" s="12" t="n"/>
      <c r="H35" s="12" t="n"/>
      <c r="I35" s="12" t="n"/>
      <c r="J35" s="12" t="n"/>
      <c r="K35" s="12" t="n"/>
      <c r="L35" s="12" t="n"/>
      <c r="M35" s="12" t="n"/>
      <c r="N35" s="60" t="n">
        <v>33.23</v>
      </c>
      <c r="O35" s="60" t="n"/>
      <c r="P35" s="55">
        <f>F35*N35</f>
        <v/>
      </c>
      <c r="Q35" s="17" t="n">
        <v>5606.52</v>
      </c>
      <c r="R35" s="56" t="n">
        <v>120</v>
      </c>
      <c r="S35" s="57">
        <f>Q35*0.0919</f>
        <v/>
      </c>
      <c r="T35" s="62">
        <f>U35</f>
        <v/>
      </c>
      <c r="U35" s="57">
        <f>Q35-P35-R35-S35</f>
        <v/>
      </c>
      <c r="V35" s="21">
        <f>U35/P35</f>
        <v/>
      </c>
      <c r="W35" s="59">
        <f>T35-U35</f>
        <v/>
      </c>
    </row>
    <row r="36">
      <c r="A36" s="11" t="n">
        <v>3622</v>
      </c>
      <c r="B36" s="9" t="n">
        <v>46248</v>
      </c>
      <c r="C36" s="10" t="inlineStr">
        <is>
          <t>EQUAGRIL</t>
        </is>
      </c>
      <c r="D36" s="10" t="inlineStr">
        <is>
          <t>Ribbon</t>
        </is>
      </c>
      <c r="E36" s="10" t="inlineStr">
        <is>
          <t>P110300108</t>
        </is>
      </c>
      <c r="F36" s="11" t="n">
        <v>50</v>
      </c>
      <c r="G36" s="12" t="n"/>
      <c r="H36" s="12" t="n"/>
      <c r="I36" s="12" t="n"/>
      <c r="J36" s="12" t="n"/>
      <c r="K36" s="12" t="n"/>
      <c r="L36" s="12" t="n"/>
      <c r="M36" s="12" t="n"/>
      <c r="N36" s="60" t="n">
        <v>9.609999999999999</v>
      </c>
      <c r="O36" s="60" t="n"/>
      <c r="P36" s="55">
        <f>F36*N36</f>
        <v/>
      </c>
      <c r="Q36" s="17" t="n">
        <v>873.5</v>
      </c>
      <c r="R36" s="56" t="n">
        <v>103.18</v>
      </c>
      <c r="S36" s="57">
        <f>Q36*0.0919</f>
        <v/>
      </c>
      <c r="T36" s="62">
        <f>U36</f>
        <v/>
      </c>
      <c r="U36" s="57">
        <f>Q36-P36-R36-S36</f>
        <v/>
      </c>
      <c r="V36" s="21">
        <f>U36/P36</f>
        <v/>
      </c>
      <c r="W36" s="59">
        <f>T36-U36</f>
        <v/>
      </c>
    </row>
    <row r="37">
      <c r="A37" s="11" t="n">
        <v>3623</v>
      </c>
      <c r="B37" s="9" t="n">
        <v>46251</v>
      </c>
      <c r="C37" s="10" t="inlineStr">
        <is>
          <t>AMARAL CARVALHO</t>
        </is>
      </c>
      <c r="D37" s="10" t="inlineStr">
        <is>
          <t>Ribbon</t>
        </is>
      </c>
      <c r="E37" s="10" t="inlineStr">
        <is>
          <t>P110360108</t>
        </is>
      </c>
      <c r="F37" s="11" t="n">
        <v>24</v>
      </c>
      <c r="G37" s="12" t="n"/>
      <c r="H37" s="12" t="n"/>
      <c r="I37" s="12" t="n"/>
      <c r="J37" s="12" t="n"/>
      <c r="K37" s="12" t="n"/>
      <c r="L37" s="12" t="n"/>
      <c r="M37" s="12" t="n"/>
      <c r="N37" s="60" t="n">
        <v>11.41</v>
      </c>
      <c r="O37" s="60" t="n"/>
      <c r="P37" s="55">
        <f>F37*N37</f>
        <v/>
      </c>
      <c r="Q37" s="17" t="n">
        <v>594</v>
      </c>
      <c r="R37" s="56" t="n">
        <v>57.6</v>
      </c>
      <c r="S37" s="57">
        <f>Q37*0.0919</f>
        <v/>
      </c>
      <c r="T37" s="62">
        <f>U37</f>
        <v/>
      </c>
      <c r="U37" s="57">
        <f>Q37-P37-R37-S37</f>
        <v/>
      </c>
      <c r="V37" s="21">
        <f>U37/P37</f>
        <v/>
      </c>
      <c r="W37" s="59">
        <f>T37-U37</f>
        <v/>
      </c>
    </row>
    <row r="38">
      <c r="A38" s="11" t="n">
        <v>3624</v>
      </c>
      <c r="B38" s="9" t="n">
        <v>46251</v>
      </c>
      <c r="C38" s="10" t="inlineStr">
        <is>
          <t>PROFARMA PR</t>
        </is>
      </c>
      <c r="D38" s="10" t="inlineStr">
        <is>
          <t>Ribbon</t>
        </is>
      </c>
      <c r="E38" s="10" t="inlineStr">
        <is>
          <t>P11074108</t>
        </is>
      </c>
      <c r="F38" s="11" t="n">
        <v>288</v>
      </c>
      <c r="G38" s="12" t="n"/>
      <c r="H38" s="12" t="n"/>
      <c r="I38" s="12" t="n"/>
      <c r="J38" s="12" t="n"/>
      <c r="K38" s="12" t="n"/>
      <c r="L38" s="12" t="n"/>
      <c r="M38" s="12" t="n"/>
      <c r="N38" s="60" t="n">
        <v>2.64</v>
      </c>
      <c r="O38" s="60" t="n"/>
      <c r="P38" s="55">
        <f>F38*N38</f>
        <v/>
      </c>
      <c r="Q38" s="17" t="n">
        <v>1673.28</v>
      </c>
      <c r="R38" s="56" t="n">
        <v>445</v>
      </c>
      <c r="S38" s="57">
        <f>Q38*0.0919</f>
        <v/>
      </c>
      <c r="T38" s="62">
        <f>U38</f>
        <v/>
      </c>
      <c r="U38" s="57">
        <f>Q38-P38-R38-S38</f>
        <v/>
      </c>
      <c r="V38" s="21">
        <f>U38/P38</f>
        <v/>
      </c>
      <c r="W38" s="59">
        <f>T38-U38</f>
        <v/>
      </c>
    </row>
    <row r="39">
      <c r="A39" s="11" t="n">
        <v>3625</v>
      </c>
      <c r="B39" s="9" t="n">
        <v>46251</v>
      </c>
      <c r="C39" s="10" t="inlineStr">
        <is>
          <t>APOLO</t>
        </is>
      </c>
      <c r="D39" s="10" t="inlineStr">
        <is>
          <t>Ribbon</t>
        </is>
      </c>
      <c r="E39" s="10" t="n">
        <v>40100460</v>
      </c>
      <c r="F39" s="11" t="n">
        <v>70</v>
      </c>
      <c r="G39" s="12" t="n"/>
      <c r="H39" s="12" t="n"/>
      <c r="I39" s="12" t="n"/>
      <c r="J39" s="12" t="n"/>
      <c r="K39" s="12" t="n"/>
      <c r="L39" s="12" t="n"/>
      <c r="M39" s="12" t="n"/>
      <c r="N39" s="60" t="n">
        <v>16.89</v>
      </c>
      <c r="O39" s="60" t="n"/>
      <c r="P39" s="55">
        <f>F39*N39</f>
        <v/>
      </c>
      <c r="Q39" s="17" t="n">
        <v>1836.8</v>
      </c>
      <c r="R39" s="56" t="n">
        <v>140</v>
      </c>
      <c r="S39" s="57">
        <f>Q39*0.0919</f>
        <v/>
      </c>
      <c r="T39" s="62">
        <f>U39</f>
        <v/>
      </c>
      <c r="U39" s="57">
        <f>Q39-P39-R39-S39</f>
        <v/>
      </c>
      <c r="V39" s="21">
        <f>U39/P39</f>
        <v/>
      </c>
      <c r="W39" s="59">
        <f>T39-U39</f>
        <v/>
      </c>
    </row>
    <row r="40">
      <c r="A40" s="11" t="n">
        <v>3626</v>
      </c>
      <c r="B40" s="9" t="n">
        <v>46251</v>
      </c>
      <c r="C40" s="10" t="inlineStr">
        <is>
          <t>SUPREMO CARNES - CHAGAS</t>
        </is>
      </c>
      <c r="D40" s="10" t="inlineStr">
        <is>
          <t>Ribbon</t>
        </is>
      </c>
      <c r="E40" s="10" t="inlineStr">
        <is>
          <t>300445/110</t>
        </is>
      </c>
      <c r="F40" s="11" t="n">
        <v>24</v>
      </c>
      <c r="G40" s="12" t="n"/>
      <c r="H40" s="12" t="n"/>
      <c r="I40" s="12" t="n"/>
      <c r="J40" s="12" t="n"/>
      <c r="K40" s="12" t="n"/>
      <c r="L40" s="12" t="n"/>
      <c r="M40" s="12" t="n"/>
      <c r="N40" s="60" t="n">
        <v>33.23</v>
      </c>
      <c r="O40" s="60" t="n"/>
      <c r="P40" s="55">
        <f>F40*N40</f>
        <v/>
      </c>
      <c r="Q40" s="17" t="n">
        <v>1201.2</v>
      </c>
      <c r="R40" s="56" t="n">
        <v>25</v>
      </c>
      <c r="S40" s="57">
        <f>Q40*0.0919</f>
        <v/>
      </c>
      <c r="T40" s="62">
        <f>U40</f>
        <v/>
      </c>
      <c r="U40" s="57">
        <f>Q40-P40-R40-S40</f>
        <v/>
      </c>
      <c r="V40" s="21">
        <f>U40/P40</f>
        <v/>
      </c>
      <c r="W40" s="59">
        <f>T40-U40</f>
        <v/>
      </c>
    </row>
    <row r="41">
      <c r="A41" s="11" t="n">
        <v>3627</v>
      </c>
      <c r="B41" s="9" t="n"/>
      <c r="C41" s="10" t="n"/>
      <c r="D41" s="10" t="inlineStr">
        <is>
          <t>Ribbon</t>
        </is>
      </c>
      <c r="E41" s="10" t="inlineStr">
        <is>
          <t>300276/110</t>
        </is>
      </c>
      <c r="F41" s="11" t="n">
        <v>30</v>
      </c>
      <c r="G41" s="12" t="n"/>
      <c r="H41" s="12" t="n"/>
      <c r="I41" s="12" t="n"/>
      <c r="J41" s="12" t="n"/>
      <c r="K41" s="12" t="n"/>
      <c r="L41" s="12" t="n"/>
      <c r="M41" s="12" t="n"/>
      <c r="N41" s="60" t="n">
        <v>21.96</v>
      </c>
      <c r="O41" s="60" t="n"/>
      <c r="P41" s="55">
        <f>F41*N41</f>
        <v/>
      </c>
      <c r="Q41" s="17" t="n">
        <v>1089.6</v>
      </c>
      <c r="R41" s="56" t="n">
        <v>10</v>
      </c>
      <c r="S41" s="57">
        <f>Q41*0.0919</f>
        <v/>
      </c>
      <c r="T41" s="62">
        <f>U41</f>
        <v/>
      </c>
      <c r="U41" s="57">
        <f>Q41-P41-R41-S41</f>
        <v/>
      </c>
      <c r="V41" s="21">
        <f>U41/P41</f>
        <v/>
      </c>
      <c r="W41" s="59">
        <f>T41-U41</f>
        <v/>
      </c>
    </row>
    <row r="42">
      <c r="A42" s="11" t="n">
        <v>3628</v>
      </c>
      <c r="B42" s="9" t="n">
        <v>46252</v>
      </c>
      <c r="C42" s="10" t="inlineStr">
        <is>
          <t>MUSASHI</t>
        </is>
      </c>
      <c r="D42" s="10" t="inlineStr">
        <is>
          <t>Ribbon</t>
        </is>
      </c>
      <c r="E42" s="10" t="inlineStr">
        <is>
          <t>300887/110</t>
        </is>
      </c>
      <c r="F42" s="11" t="n">
        <v>45</v>
      </c>
      <c r="G42" s="12" t="n"/>
      <c r="H42" s="12" t="n"/>
      <c r="I42" s="12" t="n"/>
      <c r="J42" s="12" t="n"/>
      <c r="K42" s="12" t="n"/>
      <c r="L42" s="12" t="n"/>
      <c r="M42" s="12" t="n"/>
      <c r="N42" s="60" t="n">
        <v>16.6</v>
      </c>
      <c r="O42" s="60" t="n"/>
      <c r="P42" s="55">
        <f>F42*N42</f>
        <v/>
      </c>
      <c r="Q42" s="17" t="n">
        <v>1170</v>
      </c>
      <c r="R42" s="56" t="n">
        <v>30</v>
      </c>
      <c r="S42" s="57">
        <f>Q42*0.0919</f>
        <v/>
      </c>
      <c r="T42" s="62">
        <f>U42</f>
        <v/>
      </c>
      <c r="U42" s="57">
        <f>Q42-P42-R42-S42</f>
        <v/>
      </c>
      <c r="V42" s="21">
        <f>U42/P42</f>
        <v/>
      </c>
      <c r="W42" s="59">
        <f>T42-U42</f>
        <v/>
      </c>
    </row>
    <row r="43">
      <c r="A43" s="11" t="n">
        <v>3629</v>
      </c>
      <c r="B43" s="9" t="n">
        <v>46252</v>
      </c>
      <c r="C43" s="10" t="inlineStr">
        <is>
          <t>SUPREMO CARNES - CHAGAS</t>
        </is>
      </c>
      <c r="D43" s="10" t="inlineStr">
        <is>
          <t>Ribbon</t>
        </is>
      </c>
      <c r="E43" s="10" t="inlineStr">
        <is>
          <t>300445/110</t>
        </is>
      </c>
      <c r="F43" s="11" t="n">
        <v>24</v>
      </c>
      <c r="G43" s="12" t="n"/>
      <c r="H43" s="12" t="n"/>
      <c r="I43" s="12" t="n"/>
      <c r="J43" s="12" t="n"/>
      <c r="K43" s="12" t="n"/>
      <c r="L43" s="12" t="n"/>
      <c r="M43" s="12" t="n"/>
      <c r="N43" s="60" t="n">
        <v>33.23</v>
      </c>
      <c r="O43" s="60" t="n"/>
      <c r="P43" s="55">
        <f>F43*N43</f>
        <v/>
      </c>
      <c r="Q43" s="17" t="n">
        <v>1201.2</v>
      </c>
      <c r="R43" s="56" t="n">
        <v>10</v>
      </c>
      <c r="S43" s="57">
        <f>Q43*0.0919</f>
        <v/>
      </c>
      <c r="T43" s="62">
        <f>U43</f>
        <v/>
      </c>
      <c r="U43" s="57">
        <f>Q43-P43-R43-S43</f>
        <v/>
      </c>
      <c r="V43" s="21">
        <f>U43/P43</f>
        <v/>
      </c>
      <c r="W43" s="59">
        <f>T43-U43</f>
        <v/>
      </c>
    </row>
    <row r="44">
      <c r="A44" s="11" t="n">
        <v>3629</v>
      </c>
      <c r="B44" s="9" t="n"/>
      <c r="C44" s="10" t="n"/>
      <c r="D44" s="10" t="inlineStr">
        <is>
          <t>Ribbon</t>
        </is>
      </c>
      <c r="E44" s="10" t="inlineStr">
        <is>
          <t>301301/83</t>
        </is>
      </c>
      <c r="F44" s="11" t="n">
        <v>48</v>
      </c>
      <c r="G44" s="12" t="n"/>
      <c r="H44" s="12" t="n"/>
      <c r="I44" s="12" t="n"/>
      <c r="J44" s="12" t="n"/>
      <c r="K44" s="12" t="n"/>
      <c r="L44" s="12" t="n"/>
      <c r="M44" s="12" t="n"/>
      <c r="N44" s="60" t="n">
        <v>25.04</v>
      </c>
      <c r="O44" s="60" t="n"/>
      <c r="P44" s="55">
        <f>F44*N44</f>
        <v/>
      </c>
      <c r="Q44" s="17" t="n">
        <v>1916.16</v>
      </c>
      <c r="R44" s="56" t="n">
        <v>15</v>
      </c>
      <c r="S44" s="57">
        <f>Q44*0.0919</f>
        <v/>
      </c>
      <c r="T44" s="62">
        <f>U44</f>
        <v/>
      </c>
      <c r="U44" s="57">
        <f>Q44-P44-R44-S44</f>
        <v/>
      </c>
      <c r="V44" s="21">
        <f>U44/P44</f>
        <v/>
      </c>
      <c r="W44" s="59">
        <f>T44-U44</f>
        <v/>
      </c>
    </row>
    <row r="45">
      <c r="A45" s="11" t="n">
        <v>3631</v>
      </c>
      <c r="B45" s="9" t="n">
        <v>46253</v>
      </c>
      <c r="C45" s="10" t="inlineStr">
        <is>
          <t>FORMTAP</t>
        </is>
      </c>
      <c r="D45" s="10" t="inlineStr">
        <is>
          <t>Ribbon</t>
        </is>
      </c>
      <c r="E45" s="10" t="inlineStr">
        <is>
          <t>P11074108</t>
        </is>
      </c>
      <c r="F45" s="11" t="n">
        <v>30</v>
      </c>
      <c r="G45" s="12" t="n"/>
      <c r="H45" s="12" t="n"/>
      <c r="I45" s="12" t="n"/>
      <c r="J45" s="12" t="n"/>
      <c r="K45" s="12" t="n"/>
      <c r="L45" s="12" t="n"/>
      <c r="M45" s="12" t="n"/>
      <c r="N45" s="60" t="n">
        <v>2.64</v>
      </c>
      <c r="O45" s="60" t="n"/>
      <c r="P45" s="55">
        <f>F45*N45</f>
        <v/>
      </c>
      <c r="Q45" s="17" t="n">
        <v>147.9</v>
      </c>
      <c r="R45" s="56" t="n">
        <v>30</v>
      </c>
      <c r="S45" s="57">
        <f>Q45*0.0919</f>
        <v/>
      </c>
      <c r="T45" s="62">
        <f>U45</f>
        <v/>
      </c>
      <c r="U45" s="57">
        <f>Q45-P45-R45-S45</f>
        <v/>
      </c>
      <c r="V45" s="21">
        <f>U45/P45</f>
        <v/>
      </c>
      <c r="W45" s="59">
        <f>T45-U45</f>
        <v/>
      </c>
    </row>
    <row r="46">
      <c r="A46" s="11" t="n">
        <v>3631</v>
      </c>
      <c r="B46" s="9" t="n"/>
      <c r="C46" s="10" t="n"/>
      <c r="D46" s="10" t="inlineStr">
        <is>
          <t>Ribbon</t>
        </is>
      </c>
      <c r="E46" s="10" t="inlineStr">
        <is>
          <t>P110450108</t>
        </is>
      </c>
      <c r="F46" s="11" t="n">
        <v>144</v>
      </c>
      <c r="G46" s="12" t="n"/>
      <c r="H46" s="12" t="n"/>
      <c r="I46" s="12" t="n"/>
      <c r="J46" s="12" t="n"/>
      <c r="K46" s="12" t="n"/>
      <c r="L46" s="12" t="n"/>
      <c r="M46" s="12" t="n"/>
      <c r="N46" s="60" t="n">
        <v>14.3</v>
      </c>
      <c r="O46" s="60" t="n"/>
      <c r="P46" s="55">
        <f>F46*N46</f>
        <v/>
      </c>
      <c r="Q46" s="17" t="n">
        <v>3227.04</v>
      </c>
      <c r="R46" s="56" t="n">
        <v>160</v>
      </c>
      <c r="S46" s="57">
        <f>Q46*0.0919</f>
        <v/>
      </c>
      <c r="T46" s="62">
        <f>U46</f>
        <v/>
      </c>
      <c r="U46" s="57">
        <f>Q46-P46-R46-S46</f>
        <v/>
      </c>
      <c r="V46" s="21">
        <f>U46/P46</f>
        <v/>
      </c>
      <c r="W46" s="59">
        <f>T46-U46</f>
        <v/>
      </c>
    </row>
    <row r="47">
      <c r="A47" s="11" t="n">
        <v>3633</v>
      </c>
      <c r="B47" s="9" t="n">
        <v>46258</v>
      </c>
      <c r="C47" s="10" t="inlineStr">
        <is>
          <t>MUSASHI</t>
        </is>
      </c>
      <c r="D47" s="10" t="inlineStr">
        <is>
          <t>Ribbon</t>
        </is>
      </c>
      <c r="E47" s="10" t="inlineStr">
        <is>
          <t>300887/110</t>
        </is>
      </c>
      <c r="F47" s="11" t="n">
        <v>55</v>
      </c>
      <c r="G47" s="12" t="n"/>
      <c r="H47" s="12" t="n"/>
      <c r="I47" s="12" t="n"/>
      <c r="J47" s="12" t="n"/>
      <c r="K47" s="12" t="n"/>
      <c r="L47" s="12" t="n"/>
      <c r="M47" s="12" t="n"/>
      <c r="N47" s="60" t="n">
        <v>16.3</v>
      </c>
      <c r="O47" s="60" t="n"/>
      <c r="P47" s="55">
        <f>F47*N47</f>
        <v/>
      </c>
      <c r="Q47" s="17" t="n">
        <v>1430</v>
      </c>
      <c r="R47" s="56" t="n">
        <v>30</v>
      </c>
      <c r="S47" s="57">
        <f>Q47*0.0919</f>
        <v/>
      </c>
      <c r="T47" s="62">
        <f>U47</f>
        <v/>
      </c>
      <c r="U47" s="57">
        <f>Q47-P47-R47-S47</f>
        <v/>
      </c>
      <c r="V47" s="21">
        <f>U47/P47</f>
        <v/>
      </c>
      <c r="W47" s="59">
        <f>T47-U47</f>
        <v/>
      </c>
    </row>
    <row r="48">
      <c r="A48" s="11" t="n">
        <v>3634</v>
      </c>
      <c r="B48" s="9" t="n">
        <v>46258</v>
      </c>
      <c r="C48" s="10" t="inlineStr">
        <is>
          <t>SUPREMO CARNES IBIRITÉ</t>
        </is>
      </c>
      <c r="D48" s="10" t="inlineStr">
        <is>
          <t>Ribbon</t>
        </is>
      </c>
      <c r="E48" s="10" t="inlineStr">
        <is>
          <t>301301/83</t>
        </is>
      </c>
      <c r="F48" s="11" t="n">
        <v>72</v>
      </c>
      <c r="G48" s="12" t="n"/>
      <c r="H48" s="12" t="n"/>
      <c r="I48" s="12" t="n"/>
      <c r="J48" s="12" t="n"/>
      <c r="K48" s="12" t="n"/>
      <c r="L48" s="12" t="n"/>
      <c r="M48" s="12" t="n"/>
      <c r="N48" s="60" t="n">
        <v>25.044</v>
      </c>
      <c r="O48" s="60" t="n"/>
      <c r="P48" s="55">
        <f>F48*N48</f>
        <v/>
      </c>
      <c r="Q48" s="17" t="n">
        <v>2874.24</v>
      </c>
      <c r="R48" s="56" t="n">
        <v>50</v>
      </c>
      <c r="S48" s="57">
        <f>Q48*0.0919</f>
        <v/>
      </c>
      <c r="T48" s="62">
        <f>U48</f>
        <v/>
      </c>
      <c r="U48" s="57">
        <f>Q48-P48-R48-S48</f>
        <v/>
      </c>
      <c r="V48" s="21">
        <f>U48/P48</f>
        <v/>
      </c>
      <c r="W48" s="59">
        <f>T48-U48</f>
        <v/>
      </c>
    </row>
    <row r="49">
      <c r="A49" s="11" t="n">
        <v>3635</v>
      </c>
      <c r="B49" s="9" t="n">
        <v>46258</v>
      </c>
      <c r="C49" s="10" t="inlineStr">
        <is>
          <t>SUPREMO CARNES CHAGAS</t>
        </is>
      </c>
      <c r="D49" s="10" t="inlineStr">
        <is>
          <t>Ribbon</t>
        </is>
      </c>
      <c r="E49" s="10" t="inlineStr">
        <is>
          <t>301301/83</t>
        </is>
      </c>
      <c r="F49" s="11" t="n">
        <v>144</v>
      </c>
      <c r="G49" s="12" t="n"/>
      <c r="H49" s="12" t="n"/>
      <c r="I49" s="12" t="n"/>
      <c r="J49" s="12" t="n"/>
      <c r="K49" s="12" t="n"/>
      <c r="L49" s="12" t="n"/>
      <c r="M49" s="12" t="n"/>
      <c r="N49" s="60" t="n">
        <v>25.044</v>
      </c>
      <c r="O49" s="60" t="n"/>
      <c r="P49" s="55">
        <f>F49*N49</f>
        <v/>
      </c>
      <c r="Q49" s="17" t="n">
        <v>5748.48</v>
      </c>
      <c r="R49" s="56" t="n">
        <v>55</v>
      </c>
      <c r="S49" s="57">
        <f>Q49*0.0919</f>
        <v/>
      </c>
      <c r="T49" s="62">
        <f>U49</f>
        <v/>
      </c>
      <c r="U49" s="57">
        <f>Q49-P49-R49-S49</f>
        <v/>
      </c>
      <c r="V49" s="21">
        <f>U49/P49</f>
        <v/>
      </c>
      <c r="W49" s="59">
        <f>T49-U49</f>
        <v/>
      </c>
    </row>
    <row r="50">
      <c r="A50" s="11" t="n">
        <v>3635</v>
      </c>
      <c r="B50" s="9" t="n"/>
      <c r="C50" s="10" t="n"/>
      <c r="D50" s="10" t="inlineStr">
        <is>
          <t>Ribbon</t>
        </is>
      </c>
      <c r="E50" s="10" t="inlineStr">
        <is>
          <t>300445/110</t>
        </is>
      </c>
      <c r="F50" s="11" t="n">
        <v>144</v>
      </c>
      <c r="G50" s="12" t="n"/>
      <c r="H50" s="12" t="n"/>
      <c r="I50" s="12" t="n"/>
      <c r="J50" s="12" t="n"/>
      <c r="K50" s="12" t="n"/>
      <c r="L50" s="12" t="n"/>
      <c r="M50" s="12" t="n"/>
      <c r="N50" s="60" t="n">
        <v>32</v>
      </c>
      <c r="O50" s="60" t="n"/>
      <c r="P50" s="55">
        <f>F50*N50</f>
        <v/>
      </c>
      <c r="Q50" s="17" t="n">
        <v>7207.2</v>
      </c>
      <c r="R50" s="56" t="n">
        <v>55</v>
      </c>
      <c r="S50" s="57">
        <f>Q50*0.0919</f>
        <v/>
      </c>
      <c r="T50" s="62">
        <f>U50</f>
        <v/>
      </c>
      <c r="U50" s="57">
        <f>Q50-P50-R50-S50</f>
        <v/>
      </c>
      <c r="V50" s="21">
        <f>U50/P50</f>
        <v/>
      </c>
      <c r="W50" s="59">
        <f>T50-U50</f>
        <v/>
      </c>
    </row>
    <row r="51">
      <c r="A51" s="11" t="n">
        <v>3636</v>
      </c>
      <c r="B51" s="9" t="n">
        <v>46259</v>
      </c>
      <c r="C51" s="10" t="inlineStr">
        <is>
          <t>PROFARMA SP</t>
        </is>
      </c>
      <c r="D51" s="10" t="inlineStr">
        <is>
          <t>Ribbon</t>
        </is>
      </c>
      <c r="E51" s="10" t="inlineStr">
        <is>
          <t>P110450108</t>
        </is>
      </c>
      <c r="F51" s="11" t="n">
        <v>120</v>
      </c>
      <c r="G51" s="12" t="n"/>
      <c r="H51" s="12" t="n"/>
      <c r="I51" s="12" t="n"/>
      <c r="J51" s="12" t="n"/>
      <c r="K51" s="12" t="n"/>
      <c r="L51" s="12" t="n"/>
      <c r="M51" s="12" t="n"/>
      <c r="N51" s="60" t="n">
        <v>14.3</v>
      </c>
      <c r="O51" s="60" t="n"/>
      <c r="P51" s="55">
        <f>F51*N51</f>
        <v/>
      </c>
      <c r="Q51" s="17" t="n">
        <v>2748</v>
      </c>
      <c r="R51" s="56" t="n">
        <v>241.13</v>
      </c>
      <c r="S51" s="57">
        <f>Q51*0.0919</f>
        <v/>
      </c>
      <c r="T51" s="62">
        <f>U51</f>
        <v/>
      </c>
      <c r="U51" s="57">
        <f>Q51-P51-R51-S51</f>
        <v/>
      </c>
      <c r="V51" s="21">
        <f>U51/P51</f>
        <v/>
      </c>
      <c r="W51" s="59">
        <f>T51-U51</f>
        <v/>
      </c>
    </row>
    <row r="52">
      <c r="A52" s="11" t="n">
        <v>3640</v>
      </c>
      <c r="B52" s="9" t="n">
        <v>46262</v>
      </c>
      <c r="C52" s="10" t="inlineStr">
        <is>
          <t>LABICON</t>
        </is>
      </c>
      <c r="D52" s="10" t="inlineStr">
        <is>
          <t>Ribbon</t>
        </is>
      </c>
      <c r="E52" s="10" t="inlineStr">
        <is>
          <t>P6474200</t>
        </is>
      </c>
      <c r="F52" s="11" t="n">
        <v>50</v>
      </c>
      <c r="G52" s="12" t="n"/>
      <c r="H52" s="12" t="n"/>
      <c r="I52" s="12" t="n"/>
      <c r="J52" s="12" t="n"/>
      <c r="K52" s="12" t="n"/>
      <c r="L52" s="12" t="n"/>
      <c r="M52" s="12" t="n"/>
      <c r="N52" s="60" t="n">
        <v>4.41</v>
      </c>
      <c r="O52" s="60" t="n"/>
      <c r="P52" s="55">
        <f>F52*N52</f>
        <v/>
      </c>
      <c r="Q52" s="17" t="n">
        <v>384.5</v>
      </c>
      <c r="R52" s="56" t="n">
        <v>20</v>
      </c>
      <c r="S52" s="57">
        <f>Q52*0.0919</f>
        <v/>
      </c>
      <c r="T52" s="62">
        <f>U52</f>
        <v/>
      </c>
      <c r="U52" s="57">
        <f>Q52-P52-R52-S52</f>
        <v/>
      </c>
      <c r="V52" s="21">
        <f>U52/P52</f>
        <v/>
      </c>
      <c r="W52" s="59">
        <f>T52-U52</f>
        <v/>
      </c>
    </row>
    <row r="53">
      <c r="A53" s="11" t="n">
        <v>3642</v>
      </c>
      <c r="B53" s="9" t="n">
        <v>46265</v>
      </c>
      <c r="C53" s="10" t="inlineStr">
        <is>
          <t>HOSPITA SUMARÉ</t>
        </is>
      </c>
      <c r="D53" s="10" t="inlineStr">
        <is>
          <t>Ribbon</t>
        </is>
      </c>
      <c r="E53" s="10" t="inlineStr">
        <is>
          <t>300120/110</t>
        </is>
      </c>
      <c r="F53" s="11" t="n">
        <v>52</v>
      </c>
      <c r="G53" s="12" t="n"/>
      <c r="H53" s="12" t="n"/>
      <c r="I53" s="12" t="n"/>
      <c r="J53" s="12" t="n"/>
      <c r="K53" s="12" t="n"/>
      <c r="L53" s="12" t="n"/>
      <c r="M53" s="12" t="n"/>
      <c r="N53" s="60" t="n">
        <v>9.289999999999999</v>
      </c>
      <c r="O53" s="60" t="n"/>
      <c r="P53" s="55">
        <f>F53*N53</f>
        <v/>
      </c>
      <c r="Q53" s="17" t="n">
        <v>665.08</v>
      </c>
      <c r="R53" s="56" t="n">
        <v>70.93000000000001</v>
      </c>
      <c r="S53" s="57">
        <f>Q53*0.0919</f>
        <v/>
      </c>
      <c r="T53" s="62">
        <f>U53</f>
        <v/>
      </c>
      <c r="U53" s="57">
        <f>Q53-P53-R53-S53</f>
        <v/>
      </c>
      <c r="V53" s="21">
        <f>U53/P53</f>
        <v/>
      </c>
      <c r="W53" s="59">
        <f>T53-U53</f>
        <v/>
      </c>
    </row>
    <row r="54">
      <c r="A54" s="11" t="n">
        <v>3642</v>
      </c>
      <c r="B54" s="9" t="n"/>
      <c r="C54" s="10" t="n"/>
      <c r="D54" s="10" t="inlineStr">
        <is>
          <t>Ribbon</t>
        </is>
      </c>
      <c r="E54" s="10" t="inlineStr">
        <is>
          <t>300443/110</t>
        </is>
      </c>
      <c r="F54" s="11" t="n">
        <v>6</v>
      </c>
      <c r="G54" s="12" t="n"/>
      <c r="H54" s="12" t="n"/>
      <c r="I54" s="12" t="n"/>
      <c r="J54" s="12" t="n"/>
      <c r="K54" s="12" t="n"/>
      <c r="L54" s="12" t="n"/>
      <c r="M54" s="12" t="n"/>
      <c r="N54" s="60" t="n">
        <v>15</v>
      </c>
      <c r="O54" s="60" t="n"/>
      <c r="P54" s="55">
        <f>F54*N54</f>
        <v/>
      </c>
      <c r="Q54" s="17" t="n">
        <v>143.58</v>
      </c>
      <c r="R54" s="56" t="n">
        <v>0</v>
      </c>
      <c r="S54" s="57">
        <f>Q54*0.0919</f>
        <v/>
      </c>
      <c r="T54" s="62">
        <f>U54</f>
        <v/>
      </c>
      <c r="U54" s="57">
        <f>Q54-P54-R54-S54</f>
        <v/>
      </c>
      <c r="V54" s="21">
        <f>U54/P54</f>
        <v/>
      </c>
      <c r="W54" s="59">
        <f>T54-U54</f>
        <v/>
      </c>
    </row>
    <row r="55">
      <c r="A55" s="11" t="n">
        <v>1166</v>
      </c>
      <c r="B55" s="9" t="n">
        <v>46237</v>
      </c>
      <c r="C55" s="10" t="inlineStr">
        <is>
          <t>VERDEMAR</t>
        </is>
      </c>
      <c r="D55" s="10" t="inlineStr">
        <is>
          <t>Ribbon</t>
        </is>
      </c>
      <c r="E55" s="10" t="inlineStr">
        <is>
          <t>300276/110</t>
        </is>
      </c>
      <c r="F55" s="11" t="n">
        <v>15</v>
      </c>
      <c r="G55" s="12" t="n"/>
      <c r="H55" s="12" t="n"/>
      <c r="I55" s="12" t="n"/>
      <c r="J55" s="12" t="n"/>
      <c r="K55" s="12" t="n"/>
      <c r="L55" s="12" t="n"/>
      <c r="M55" s="12" t="n"/>
      <c r="N55" s="60" t="n">
        <v>21.96</v>
      </c>
      <c r="O55" s="60" t="n"/>
      <c r="P55" s="55">
        <f>F55*N55</f>
        <v/>
      </c>
      <c r="Q55" s="17" t="n">
        <v>504.3</v>
      </c>
      <c r="R55" s="56" t="n">
        <v>25</v>
      </c>
      <c r="S55" s="57">
        <f>Q55*0.0919</f>
        <v/>
      </c>
      <c r="T55" s="62">
        <f>U55</f>
        <v/>
      </c>
      <c r="U55" s="57">
        <f>Q55-P55-R55-S55</f>
        <v/>
      </c>
      <c r="V55" s="21">
        <f>U55/P55</f>
        <v/>
      </c>
      <c r="W55" s="59">
        <f>T55-U55</f>
        <v/>
      </c>
    </row>
    <row r="56">
      <c r="A56" s="11" t="n">
        <v>1166</v>
      </c>
      <c r="B56" s="9" t="n"/>
      <c r="C56" s="10" t="n"/>
      <c r="D56" s="10" t="inlineStr">
        <is>
          <t>Ribbon</t>
        </is>
      </c>
      <c r="E56" s="10" t="inlineStr">
        <is>
          <t>P11074108</t>
        </is>
      </c>
      <c r="F56" s="11" t="n">
        <v>100</v>
      </c>
      <c r="G56" s="12" t="n"/>
      <c r="H56" s="12" t="n"/>
      <c r="I56" s="12" t="n"/>
      <c r="J56" s="12" t="n"/>
      <c r="K56" s="12" t="n"/>
      <c r="L56" s="12" t="n"/>
      <c r="M56" s="12" t="n"/>
      <c r="N56" s="60" t="n">
        <v>2.66</v>
      </c>
      <c r="O56" s="60" t="n"/>
      <c r="P56" s="64">
        <f>F56*N56</f>
        <v/>
      </c>
      <c r="Q56" s="29" t="n">
        <v>350</v>
      </c>
      <c r="R56" s="56" t="n">
        <v>0</v>
      </c>
      <c r="S56" s="57">
        <f>Q56*0.0919</f>
        <v/>
      </c>
      <c r="T56" s="62">
        <f>U56</f>
        <v/>
      </c>
      <c r="U56" s="57">
        <f>Q56-P56-R56-S56</f>
        <v/>
      </c>
      <c r="V56" s="21">
        <f>U56/P56</f>
        <v/>
      </c>
      <c r="W56" s="59">
        <f>T56-U56</f>
        <v/>
      </c>
    </row>
    <row r="57">
      <c r="A57" s="11" t="n">
        <v>1166</v>
      </c>
      <c r="B57" s="9" t="n"/>
      <c r="C57" s="10" t="n"/>
      <c r="D57" s="10" t="inlineStr">
        <is>
          <t>Ribbon</t>
        </is>
      </c>
      <c r="E57" s="10" t="inlineStr">
        <is>
          <t>300447/110</t>
        </is>
      </c>
      <c r="F57" s="11" t="n">
        <v>30</v>
      </c>
      <c r="G57" s="12" t="n"/>
      <c r="H57" s="12" t="n"/>
      <c r="I57" s="12" t="n"/>
      <c r="J57" s="12" t="n"/>
      <c r="K57" s="12" t="n"/>
      <c r="L57" s="12" t="n"/>
      <c r="M57" s="12" t="n"/>
      <c r="N57" s="60" t="n">
        <v>54</v>
      </c>
      <c r="O57" s="60" t="n"/>
      <c r="P57" s="55">
        <f>F57*N57</f>
        <v/>
      </c>
      <c r="Q57" s="17" t="n">
        <v>2279.7</v>
      </c>
      <c r="R57" s="56" t="n">
        <v>20</v>
      </c>
      <c r="S57" s="57">
        <f>Q57*0.0919</f>
        <v/>
      </c>
      <c r="T57" s="62">
        <f>U57</f>
        <v/>
      </c>
      <c r="U57" s="57">
        <f>Q57-P57-R57-S57</f>
        <v/>
      </c>
      <c r="V57" s="21">
        <f>U57/P57</f>
        <v/>
      </c>
      <c r="W57" s="59">
        <f>T57-U57</f>
        <v/>
      </c>
    </row>
    <row r="58">
      <c r="A58" s="11" t="n">
        <v>1171</v>
      </c>
      <c r="B58" s="9" t="n">
        <v>46241</v>
      </c>
      <c r="C58" s="10" t="inlineStr">
        <is>
          <t>YANGZI</t>
        </is>
      </c>
      <c r="D58" s="10" t="inlineStr">
        <is>
          <t>Ribbon</t>
        </is>
      </c>
      <c r="E58" s="10" t="inlineStr">
        <is>
          <t>P110450108</t>
        </is>
      </c>
      <c r="F58" s="11" t="n">
        <v>120</v>
      </c>
      <c r="G58" s="12" t="n"/>
      <c r="H58" s="12" t="n"/>
      <c r="I58" s="12" t="n"/>
      <c r="J58" s="12" t="n"/>
      <c r="K58" s="12" t="n"/>
      <c r="L58" s="12" t="n"/>
      <c r="M58" s="12" t="n"/>
      <c r="N58" s="60" t="n">
        <v>14.3</v>
      </c>
      <c r="O58" s="60" t="n"/>
      <c r="P58" s="55">
        <f>F58*N58</f>
        <v/>
      </c>
      <c r="Q58" s="17" t="n">
        <v>2676</v>
      </c>
      <c r="R58" s="56" t="n">
        <v>120</v>
      </c>
      <c r="S58" s="57">
        <f>Q58*0.0919</f>
        <v/>
      </c>
      <c r="T58" s="62">
        <f>U58</f>
        <v/>
      </c>
      <c r="U58" s="57">
        <f>Q58-P58-R58-S58</f>
        <v/>
      </c>
      <c r="V58" s="21">
        <f>U58/P58</f>
        <v/>
      </c>
      <c r="W58" s="59">
        <f>T58-U58</f>
        <v/>
      </c>
    </row>
    <row r="59">
      <c r="A59" s="11" t="n">
        <v>1173</v>
      </c>
      <c r="B59" s="9" t="n">
        <v>46244</v>
      </c>
      <c r="C59" s="10" t="inlineStr">
        <is>
          <t>DIAGNOSTICA</t>
        </is>
      </c>
      <c r="D59" s="10" t="inlineStr">
        <is>
          <t>Ribbon</t>
        </is>
      </c>
      <c r="E59" s="10" t="inlineStr">
        <is>
          <t>300118/110</t>
        </is>
      </c>
      <c r="F59" s="11" t="n">
        <v>150</v>
      </c>
      <c r="G59" s="12" t="n"/>
      <c r="H59" s="12" t="n"/>
      <c r="I59" s="12" t="n"/>
      <c r="J59" s="12" t="n"/>
      <c r="K59" s="12" t="n"/>
      <c r="L59" s="12" t="n"/>
      <c r="M59" s="12" t="n"/>
      <c r="N59" s="60" t="n">
        <v>2.88</v>
      </c>
      <c r="O59" s="60" t="n"/>
      <c r="P59" s="55">
        <f>F59*N59</f>
        <v/>
      </c>
      <c r="Q59" s="17" t="n">
        <v>813</v>
      </c>
      <c r="R59" s="56" t="n">
        <v>90</v>
      </c>
      <c r="S59" s="57">
        <f>Q59*0.0919</f>
        <v/>
      </c>
      <c r="T59" s="62">
        <f>U59</f>
        <v/>
      </c>
      <c r="U59" s="57">
        <f>Q59-P59-R59-S59</f>
        <v/>
      </c>
      <c r="V59" s="21">
        <f>U59/P59</f>
        <v/>
      </c>
      <c r="W59" s="59">
        <f>T59-U59</f>
        <v/>
      </c>
    </row>
    <row r="60">
      <c r="A60" s="11" t="n">
        <v>1175</v>
      </c>
      <c r="B60" s="9" t="n">
        <v>46247</v>
      </c>
      <c r="C60" s="10" t="inlineStr">
        <is>
          <t>SUPERMERCADO BH</t>
        </is>
      </c>
      <c r="D60" s="10" t="inlineStr">
        <is>
          <t>Ribbon</t>
        </is>
      </c>
      <c r="E60" s="10" t="inlineStr">
        <is>
          <t>300118/110</t>
        </is>
      </c>
      <c r="F60" s="11" t="n">
        <v>3000</v>
      </c>
      <c r="G60" s="12" t="n"/>
      <c r="H60" s="12" t="n"/>
      <c r="I60" s="12" t="n"/>
      <c r="J60" s="12" t="n"/>
      <c r="K60" s="12" t="n"/>
      <c r="L60" s="12" t="n"/>
      <c r="M60" s="12" t="n"/>
      <c r="N60" s="60" t="n">
        <v>2.8</v>
      </c>
      <c r="O60" s="60" t="n"/>
      <c r="P60" s="55">
        <f>F60*N60</f>
        <v/>
      </c>
      <c r="Q60" s="17" t="n">
        <v>12690</v>
      </c>
      <c r="R60" s="56" t="n">
        <v>150</v>
      </c>
      <c r="S60" s="57">
        <f>Q60*0.0919</f>
        <v/>
      </c>
      <c r="T60" s="62">
        <f>U60</f>
        <v/>
      </c>
      <c r="U60" s="57">
        <f>Q60-P60-R60-S60</f>
        <v/>
      </c>
      <c r="V60" s="21">
        <f>U60/P60</f>
        <v/>
      </c>
      <c r="W60" s="59">
        <f>T60-U60</f>
        <v/>
      </c>
    </row>
    <row r="61">
      <c r="A61" s="11" t="n">
        <v>1176</v>
      </c>
      <c r="B61" s="9" t="n"/>
      <c r="C61" s="10" t="n"/>
      <c r="D61" s="10" t="inlineStr">
        <is>
          <t>Ribbon</t>
        </is>
      </c>
      <c r="E61" s="10" t="inlineStr">
        <is>
          <t>300445/110</t>
        </is>
      </c>
      <c r="F61" s="11" t="n">
        <v>48</v>
      </c>
      <c r="G61" s="12" t="n"/>
      <c r="H61" s="12" t="n"/>
      <c r="I61" s="12" t="n"/>
      <c r="J61" s="12" t="n"/>
      <c r="K61" s="12" t="n"/>
      <c r="L61" s="12" t="n"/>
      <c r="M61" s="12" t="n"/>
      <c r="N61" s="60" t="n">
        <v>33.23</v>
      </c>
      <c r="O61" s="60" t="n"/>
      <c r="P61" s="55">
        <f>F61*N61</f>
        <v/>
      </c>
      <c r="Q61" s="17" t="n">
        <v>2592</v>
      </c>
      <c r="R61" s="56" t="n">
        <v>118</v>
      </c>
      <c r="S61" s="57">
        <f>Q61*0.0919</f>
        <v/>
      </c>
      <c r="T61" s="62">
        <f>U61</f>
        <v/>
      </c>
      <c r="U61" s="57">
        <f>Q61-P61-R61-S61</f>
        <v/>
      </c>
      <c r="V61" s="21">
        <f>U61/P61</f>
        <v/>
      </c>
      <c r="W61" s="59">
        <f>T61-U61</f>
        <v/>
      </c>
    </row>
    <row r="62">
      <c r="A62" s="11" t="n">
        <v>1177</v>
      </c>
      <c r="B62" s="9" t="n">
        <v>46247</v>
      </c>
      <c r="C62" s="10" t="inlineStr">
        <is>
          <t>FRANBOM</t>
        </is>
      </c>
      <c r="D62" s="10" t="inlineStr">
        <is>
          <t>Ribbon</t>
        </is>
      </c>
      <c r="E62" s="10" t="inlineStr">
        <is>
          <t>300445/110</t>
        </is>
      </c>
      <c r="F62" s="11" t="n">
        <v>30</v>
      </c>
      <c r="G62" s="12" t="n"/>
      <c r="H62" s="12" t="n"/>
      <c r="I62" s="12" t="n"/>
      <c r="J62" s="12" t="n"/>
      <c r="K62" s="12" t="n"/>
      <c r="L62" s="12" t="n"/>
      <c r="M62" s="12" t="n"/>
      <c r="N62" s="60" t="n">
        <v>33.23</v>
      </c>
      <c r="O62" s="60" t="n"/>
      <c r="P62" s="55">
        <f>F62*N62</f>
        <v/>
      </c>
      <c r="Q62" s="17" t="n">
        <v>1513.2</v>
      </c>
      <c r="R62" s="56" t="n">
        <v>95.18000000000001</v>
      </c>
      <c r="S62" s="57">
        <f>Q62*0.0919</f>
        <v/>
      </c>
      <c r="T62" s="62">
        <f>U62</f>
        <v/>
      </c>
      <c r="U62" s="57">
        <f>Q62-P62-R62-S62</f>
        <v/>
      </c>
      <c r="V62" s="21">
        <f>U62/P62</f>
        <v/>
      </c>
      <c r="W62" s="59">
        <f>T62-U62</f>
        <v/>
      </c>
    </row>
    <row r="63">
      <c r="A63" s="11" t="n">
        <v>1178</v>
      </c>
      <c r="B63" s="9" t="n">
        <v>46247</v>
      </c>
      <c r="C63" s="10" t="inlineStr">
        <is>
          <t>VERDEMAR</t>
        </is>
      </c>
      <c r="D63" s="10" t="inlineStr">
        <is>
          <t>Ribbon</t>
        </is>
      </c>
      <c r="E63" s="10" t="inlineStr">
        <is>
          <t>300276/110</t>
        </is>
      </c>
      <c r="F63" s="11" t="n">
        <v>60</v>
      </c>
      <c r="G63" s="12" t="n"/>
      <c r="H63" s="12" t="n"/>
      <c r="I63" s="12" t="n"/>
      <c r="J63" s="12" t="n"/>
      <c r="K63" s="12" t="n"/>
      <c r="L63" s="12" t="n"/>
      <c r="M63" s="12" t="n"/>
      <c r="N63" s="60" t="n">
        <v>21.96</v>
      </c>
      <c r="O63" s="60" t="n"/>
      <c r="P63" s="55">
        <f>F63*N63</f>
        <v/>
      </c>
      <c r="Q63" s="17" t="n">
        <v>2017.2</v>
      </c>
      <c r="R63" s="56" t="n">
        <v>20</v>
      </c>
      <c r="S63" s="57">
        <f>Q63*0.0919</f>
        <v/>
      </c>
      <c r="T63" s="62">
        <f>U63</f>
        <v/>
      </c>
      <c r="U63" s="57">
        <f>Q63-P63-R63-S63</f>
        <v/>
      </c>
      <c r="V63" s="21">
        <f>U63/P63</f>
        <v/>
      </c>
      <c r="W63" s="59">
        <f>T63-U63</f>
        <v/>
      </c>
    </row>
    <row r="64">
      <c r="A64" s="11" t="n">
        <v>1178</v>
      </c>
      <c r="B64" s="9" t="n"/>
      <c r="C64" s="10" t="n"/>
      <c r="D64" s="10" t="inlineStr">
        <is>
          <t>Ribbon</t>
        </is>
      </c>
      <c r="E64" s="10" t="inlineStr">
        <is>
          <t>P110450108</t>
        </is>
      </c>
      <c r="F64" s="11" t="n">
        <v>100</v>
      </c>
      <c r="G64" s="12" t="n"/>
      <c r="H64" s="12" t="n"/>
      <c r="I64" s="12" t="n"/>
      <c r="J64" s="12" t="n"/>
      <c r="K64" s="12" t="n"/>
      <c r="L64" s="12" t="n"/>
      <c r="M64" s="12" t="n"/>
      <c r="N64" s="60" t="n">
        <v>14.3</v>
      </c>
      <c r="O64" s="60" t="n"/>
      <c r="P64" s="55">
        <f>F64*N64</f>
        <v/>
      </c>
      <c r="Q64" s="17" t="n">
        <v>2079</v>
      </c>
      <c r="R64" s="56" t="n">
        <v>20</v>
      </c>
      <c r="S64" s="57">
        <f>Q64*0.0919</f>
        <v/>
      </c>
      <c r="T64" s="62">
        <f>U64</f>
        <v/>
      </c>
      <c r="U64" s="57">
        <f>Q64-P64-R64-S64</f>
        <v/>
      </c>
      <c r="V64" s="21">
        <f>U64/P64</f>
        <v/>
      </c>
      <c r="W64" s="59">
        <f>T64-U64</f>
        <v/>
      </c>
    </row>
    <row r="65">
      <c r="A65" s="11" t="n">
        <v>1178</v>
      </c>
      <c r="B65" s="9" t="n"/>
      <c r="C65" s="10" t="n"/>
      <c r="D65" s="10" t="inlineStr">
        <is>
          <t>Ribbon</t>
        </is>
      </c>
      <c r="E65" s="10" t="inlineStr">
        <is>
          <t>300447/110</t>
        </is>
      </c>
      <c r="F65" s="11" t="n">
        <v>30</v>
      </c>
      <c r="G65" s="12" t="n"/>
      <c r="H65" s="12" t="n"/>
      <c r="I65" s="12" t="n"/>
      <c r="J65" s="12" t="n"/>
      <c r="K65" s="12" t="n"/>
      <c r="L65" s="12" t="n"/>
      <c r="M65" s="12" t="n"/>
      <c r="N65" s="60" t="n">
        <v>54</v>
      </c>
      <c r="O65" s="60" t="n"/>
      <c r="P65" s="55">
        <f>F65*N65</f>
        <v/>
      </c>
      <c r="Q65" s="17" t="n">
        <v>2279.7</v>
      </c>
      <c r="R65" s="56" t="n">
        <v>20</v>
      </c>
      <c r="S65" s="57">
        <f>Q65*0.0919</f>
        <v/>
      </c>
      <c r="T65" s="62">
        <f>U65</f>
        <v/>
      </c>
      <c r="U65" s="57">
        <f>Q65-P65-R65-S65</f>
        <v/>
      </c>
      <c r="V65" s="21">
        <f>U65/P65</f>
        <v/>
      </c>
      <c r="W65" s="59">
        <f>T65-U65</f>
        <v/>
      </c>
    </row>
    <row r="66">
      <c r="A66" s="11" t="n">
        <v>1178</v>
      </c>
      <c r="B66" s="9" t="n"/>
      <c r="C66" s="10" t="n"/>
      <c r="D66" s="10" t="inlineStr">
        <is>
          <t>Ribbon</t>
        </is>
      </c>
      <c r="E66" s="10" t="inlineStr">
        <is>
          <t>P11074108</t>
        </is>
      </c>
      <c r="F66" s="11" t="n">
        <v>150</v>
      </c>
      <c r="G66" s="12" t="n"/>
      <c r="H66" s="12" t="n"/>
      <c r="I66" s="12" t="n"/>
      <c r="J66" s="12" t="n"/>
      <c r="K66" s="12" t="n"/>
      <c r="L66" s="12" t="n"/>
      <c r="M66" s="12" t="n"/>
      <c r="N66" s="60" t="n">
        <v>2.64</v>
      </c>
      <c r="O66" s="60" t="n"/>
      <c r="P66" s="55">
        <f>F66*N66</f>
        <v/>
      </c>
      <c r="Q66" s="17" t="n">
        <v>525</v>
      </c>
      <c r="R66" s="56" t="n">
        <v>0</v>
      </c>
      <c r="S66" s="57">
        <f>Q66*0.0919</f>
        <v/>
      </c>
      <c r="T66" s="62">
        <f>U66</f>
        <v/>
      </c>
      <c r="U66" s="57">
        <f>Q66-P66-R66-S66</f>
        <v/>
      </c>
      <c r="V66" s="21">
        <f>U66/P66</f>
        <v/>
      </c>
      <c r="W66" s="59">
        <f>T66-U66</f>
        <v/>
      </c>
    </row>
    <row r="67">
      <c r="A67" s="11" t="n">
        <v>1178</v>
      </c>
      <c r="B67" s="9" t="n"/>
      <c r="C67" s="25" t="n"/>
      <c r="D67" s="10" t="inlineStr">
        <is>
          <t>Ribbon</t>
        </is>
      </c>
      <c r="E67" s="10" t="inlineStr">
        <is>
          <t>300445/110</t>
        </is>
      </c>
      <c r="F67" s="11" t="n">
        <v>25</v>
      </c>
      <c r="G67" s="12" t="n"/>
      <c r="H67" s="12" t="n"/>
      <c r="I67" s="12" t="n"/>
      <c r="J67" s="12" t="n"/>
      <c r="K67" s="12" t="n"/>
      <c r="L67" s="12" t="n"/>
      <c r="M67" s="12" t="n"/>
      <c r="N67" s="60" t="n">
        <v>33.23</v>
      </c>
      <c r="O67" s="60" t="n"/>
      <c r="P67" s="55">
        <f>F67*N67</f>
        <v/>
      </c>
      <c r="Q67" s="17" t="n">
        <v>1162.5</v>
      </c>
      <c r="R67" s="56" t="n">
        <v>20</v>
      </c>
      <c r="S67" s="57">
        <f>Q67*0.0919</f>
        <v/>
      </c>
      <c r="T67" s="62">
        <f>U67</f>
        <v/>
      </c>
      <c r="U67" s="57">
        <f>Q67-P67-R67-S67</f>
        <v/>
      </c>
      <c r="V67" s="21">
        <f>U67/P67</f>
        <v/>
      </c>
      <c r="W67" s="59">
        <f>T67-U67</f>
        <v/>
      </c>
    </row>
    <row r="68">
      <c r="A68" s="11" t="n">
        <v>1178</v>
      </c>
      <c r="B68" s="9" t="n"/>
      <c r="C68" s="10" t="n"/>
      <c r="D68" s="10" t="inlineStr">
        <is>
          <t>Ribbon</t>
        </is>
      </c>
      <c r="E68" s="10" t="inlineStr">
        <is>
          <t>P64300200</t>
        </is>
      </c>
      <c r="F68" s="11" t="n">
        <v>41</v>
      </c>
      <c r="G68" s="12" t="n"/>
      <c r="H68" s="12" t="n"/>
      <c r="I68" s="12" t="n"/>
      <c r="J68" s="12" t="n"/>
      <c r="K68" s="12" t="n"/>
      <c r="L68" s="12" t="n"/>
      <c r="M68" s="12" t="n"/>
      <c r="N68" s="60" t="n">
        <v>12.36</v>
      </c>
      <c r="O68" s="60" t="n"/>
      <c r="P68" s="55">
        <f>F68*N68</f>
        <v/>
      </c>
      <c r="Q68" s="17" t="n">
        <v>766.7</v>
      </c>
      <c r="R68" s="56" t="n">
        <v>20</v>
      </c>
      <c r="S68" s="57">
        <f>Q68*0.0919</f>
        <v/>
      </c>
      <c r="T68" s="62">
        <f>U68</f>
        <v/>
      </c>
      <c r="U68" s="57">
        <f>Q68-P68-R68-S68</f>
        <v/>
      </c>
      <c r="V68" s="21">
        <f>U68/P68</f>
        <v/>
      </c>
      <c r="W68" s="59">
        <f>T68-U68</f>
        <v/>
      </c>
    </row>
    <row r="69">
      <c r="A69" s="11" t="n">
        <v>1179</v>
      </c>
      <c r="B69" s="9" t="n"/>
      <c r="C69" s="10" t="n"/>
      <c r="D69" s="10" t="inlineStr">
        <is>
          <t>Ribbon</t>
        </is>
      </c>
      <c r="E69" s="10" t="inlineStr">
        <is>
          <t>P11074108</t>
        </is>
      </c>
      <c r="F69" s="11" t="n">
        <v>96</v>
      </c>
      <c r="G69" s="12" t="n"/>
      <c r="H69" s="12" t="n"/>
      <c r="I69" s="12" t="n"/>
      <c r="J69" s="12" t="n"/>
      <c r="K69" s="12" t="n"/>
      <c r="L69" s="12" t="n"/>
      <c r="M69" s="12" t="n"/>
      <c r="N69" s="60" t="n">
        <v>2.64</v>
      </c>
      <c r="O69" s="60" t="n"/>
      <c r="P69" s="55">
        <f>F69*N69</f>
        <v/>
      </c>
      <c r="Q69" s="17" t="n">
        <v>579.84</v>
      </c>
      <c r="R69" s="56" t="n">
        <v>80</v>
      </c>
      <c r="S69" s="57">
        <f>Q69*0.0919</f>
        <v/>
      </c>
      <c r="T69" s="62">
        <f>U69</f>
        <v/>
      </c>
      <c r="U69" s="57">
        <f>Q69-P69-R69-S69</f>
        <v/>
      </c>
      <c r="V69" s="21">
        <f>U69/P69</f>
        <v/>
      </c>
      <c r="W69" s="59">
        <f>T69-U69</f>
        <v/>
      </c>
    </row>
    <row r="70">
      <c r="A70" s="11" t="n">
        <v>1180</v>
      </c>
      <c r="B70" s="9" t="n">
        <v>46247</v>
      </c>
      <c r="C70" s="10" t="inlineStr">
        <is>
          <t>SAUDALI</t>
        </is>
      </c>
      <c r="D70" s="10" t="inlineStr">
        <is>
          <t>Ribbon</t>
        </is>
      </c>
      <c r="E70" s="10" t="inlineStr">
        <is>
          <t>300445/110</t>
        </is>
      </c>
      <c r="F70" s="11" t="n">
        <v>576</v>
      </c>
      <c r="G70" s="12" t="n"/>
      <c r="H70" s="12" t="n"/>
      <c r="I70" s="12" t="n"/>
      <c r="J70" s="12" t="n"/>
      <c r="K70" s="12" t="n"/>
      <c r="L70" s="12" t="n"/>
      <c r="M70" s="12" t="n"/>
      <c r="N70" s="60" t="n">
        <v>33.6</v>
      </c>
      <c r="O70" s="60" t="n"/>
      <c r="P70" s="55">
        <f>F70*N70</f>
        <v/>
      </c>
      <c r="Q70" s="29" t="n">
        <v>29278.08</v>
      </c>
      <c r="R70" s="56" t="n">
        <v>605</v>
      </c>
      <c r="S70" s="57">
        <f>Q70*0.09</f>
        <v/>
      </c>
      <c r="T70" s="62">
        <f>U70</f>
        <v/>
      </c>
      <c r="U70" s="57">
        <f>Q70-P70-R70-S70</f>
        <v/>
      </c>
      <c r="V70" s="21">
        <f>U70/P70</f>
        <v/>
      </c>
      <c r="W70" s="59">
        <f>T70-U70</f>
        <v/>
      </c>
    </row>
    <row r="71">
      <c r="A71" s="11" t="n">
        <v>1182</v>
      </c>
      <c r="B71" s="9" t="n">
        <v>46248</v>
      </c>
      <c r="C71" s="32" t="inlineStr">
        <is>
          <t>ADAILTON</t>
        </is>
      </c>
      <c r="D71" s="10" t="inlineStr">
        <is>
          <t>Ribbon</t>
        </is>
      </c>
      <c r="E71" s="33" t="n">
        <v>10020006</v>
      </c>
      <c r="F71" s="11" t="n">
        <v>147</v>
      </c>
      <c r="G71" s="12" t="n"/>
      <c r="H71" s="12" t="n"/>
      <c r="I71" s="12" t="n"/>
      <c r="J71" s="12" t="n"/>
      <c r="K71" s="12" t="n"/>
      <c r="L71" s="12" t="n"/>
      <c r="M71" s="12" t="n"/>
      <c r="N71" s="25" t="n">
        <v>2.81</v>
      </c>
      <c r="O71" s="25" t="n"/>
      <c r="P71" s="55">
        <f>F71*N71</f>
        <v/>
      </c>
      <c r="Q71" s="29" t="n">
        <v>712.95</v>
      </c>
      <c r="R71" s="56" t="n">
        <v>120.8</v>
      </c>
      <c r="S71" s="57">
        <f>Q71*0.09</f>
        <v/>
      </c>
      <c r="T71" s="62">
        <f>U71</f>
        <v/>
      </c>
      <c r="U71" s="57">
        <f>Q71-P71-R71-S71</f>
        <v/>
      </c>
      <c r="V71" s="21">
        <f>U71/P71</f>
        <v/>
      </c>
      <c r="W71" s="59">
        <f>T71-U71</f>
        <v/>
      </c>
    </row>
    <row r="72">
      <c r="A72" s="11" t="n">
        <v>1182</v>
      </c>
      <c r="B72" s="9" t="n"/>
      <c r="C72" s="32" t="n"/>
      <c r="D72" s="10" t="inlineStr">
        <is>
          <t>Ribbon</t>
        </is>
      </c>
      <c r="E72" s="33" t="inlineStr">
        <is>
          <t>300119/110</t>
        </is>
      </c>
      <c r="F72" s="11" t="n">
        <v>20</v>
      </c>
      <c r="G72" s="12" t="n"/>
      <c r="H72" s="12" t="n"/>
      <c r="I72" s="12" t="n"/>
      <c r="J72" s="12" t="n"/>
      <c r="K72" s="12" t="n"/>
      <c r="L72" s="12" t="n"/>
      <c r="M72" s="12" t="n"/>
      <c r="N72" s="25" t="n">
        <v>6.8</v>
      </c>
      <c r="O72" s="25" t="n"/>
      <c r="P72" s="55">
        <f>F72*N72</f>
        <v/>
      </c>
      <c r="Q72" s="29" t="n">
        <v>215</v>
      </c>
      <c r="R72" s="56" t="n">
        <v>0</v>
      </c>
      <c r="S72" s="57">
        <f>Q72*0.09</f>
        <v/>
      </c>
      <c r="T72" s="62">
        <f>U72</f>
        <v/>
      </c>
      <c r="U72" s="57">
        <f>Q72-P72-R72-S72</f>
        <v/>
      </c>
      <c r="V72" s="21">
        <f>U72/P72</f>
        <v/>
      </c>
      <c r="W72" s="59">
        <f>T72-U72</f>
        <v/>
      </c>
    </row>
    <row r="73">
      <c r="A73" s="11" t="n">
        <v>1183</v>
      </c>
      <c r="B73" s="9" t="n">
        <v>46248</v>
      </c>
      <c r="C73" s="10" t="inlineStr">
        <is>
          <t>ORTOBOM MT</t>
        </is>
      </c>
      <c r="D73" s="10" t="inlineStr">
        <is>
          <t>Ribbon</t>
        </is>
      </c>
      <c r="E73" s="33" t="inlineStr">
        <is>
          <t>P110450108</t>
        </is>
      </c>
      <c r="F73" s="11" t="n">
        <v>72</v>
      </c>
      <c r="G73" s="12" t="n"/>
      <c r="H73" s="12" t="n"/>
      <c r="I73" s="12" t="n"/>
      <c r="J73" s="12" t="n"/>
      <c r="K73" s="12" t="n"/>
      <c r="L73" s="12" t="n"/>
      <c r="M73" s="12" t="n"/>
      <c r="N73" s="60" t="n">
        <v>14.3</v>
      </c>
      <c r="O73" s="60" t="n"/>
      <c r="P73" s="55">
        <f>F73*N73</f>
        <v/>
      </c>
      <c r="Q73" s="17" t="n">
        <v>1767.6</v>
      </c>
      <c r="R73" s="56" t="n">
        <v>119.28</v>
      </c>
      <c r="S73" s="57">
        <f>Q73*0.0919</f>
        <v/>
      </c>
      <c r="T73" s="62">
        <f>U73</f>
        <v/>
      </c>
      <c r="U73" s="57">
        <f>Q73-P73-R73-S73</f>
        <v/>
      </c>
      <c r="V73" s="21">
        <f>U73/P73</f>
        <v/>
      </c>
      <c r="W73" s="59">
        <f>T73-U73</f>
        <v/>
      </c>
    </row>
    <row r="74">
      <c r="A74" s="11" t="n">
        <v>1185</v>
      </c>
      <c r="B74" s="9" t="n">
        <v>46251</v>
      </c>
      <c r="C74" s="10" t="inlineStr">
        <is>
          <t>TOP SERVICE</t>
        </is>
      </c>
      <c r="D74" s="10" t="inlineStr">
        <is>
          <t>Ribbon cartão</t>
        </is>
      </c>
      <c r="E74" s="10" t="inlineStr">
        <is>
          <t>ZC300/100</t>
        </is>
      </c>
      <c r="F74" s="11" t="n">
        <v>3</v>
      </c>
      <c r="G74" s="12" t="n"/>
      <c r="H74" s="12" t="n"/>
      <c r="I74" s="12" t="n"/>
      <c r="J74" s="12" t="n"/>
      <c r="K74" s="12" t="n"/>
      <c r="L74" s="12" t="n"/>
      <c r="M74" s="12" t="n"/>
      <c r="N74" s="60" t="n">
        <v>248</v>
      </c>
      <c r="O74" s="60" t="n"/>
      <c r="P74" s="55">
        <f>F74*N74</f>
        <v/>
      </c>
      <c r="Q74" s="17" t="n">
        <v>1359.57</v>
      </c>
      <c r="R74" s="56" t="n">
        <v>0</v>
      </c>
      <c r="S74" s="57">
        <f>Q74*0.0919</f>
        <v/>
      </c>
      <c r="T74" s="62">
        <f>U74</f>
        <v/>
      </c>
      <c r="U74" s="57">
        <f>Q74-P74-R74-S74</f>
        <v/>
      </c>
      <c r="V74" s="21">
        <f>U74/P74</f>
        <v/>
      </c>
      <c r="W74" s="59">
        <f>T74-U74</f>
        <v/>
      </c>
    </row>
    <row r="75">
      <c r="A75" s="11" t="n">
        <v>1185</v>
      </c>
      <c r="B75" s="9" t="n"/>
      <c r="C75" s="10" t="n"/>
      <c r="D75" s="10" t="inlineStr">
        <is>
          <t>Cartão</t>
        </is>
      </c>
      <c r="E75" s="10" t="inlineStr">
        <is>
          <t>SC0548</t>
        </is>
      </c>
      <c r="F75" s="11" t="n">
        <v>950</v>
      </c>
      <c r="G75" s="12" t="n"/>
      <c r="H75" s="12" t="n"/>
      <c r="I75" s="12" t="n"/>
      <c r="J75" s="12" t="n"/>
      <c r="K75" s="12" t="n"/>
      <c r="L75" s="12" t="n"/>
      <c r="M75" s="12" t="n"/>
      <c r="N75" s="60" t="n">
        <v>0.544</v>
      </c>
      <c r="O75" s="60" t="n"/>
      <c r="P75" s="55">
        <f>F75*N75</f>
        <v/>
      </c>
      <c r="Q75" s="17" t="n">
        <v>684</v>
      </c>
      <c r="R75" s="56" t="n">
        <v>30</v>
      </c>
      <c r="S75" s="57">
        <f>Q75*0.0919</f>
        <v/>
      </c>
      <c r="T75" s="62">
        <f>U75</f>
        <v/>
      </c>
      <c r="U75" s="57">
        <f>Q75-P75-R75-S75</f>
        <v/>
      </c>
      <c r="V75" s="21">
        <f>U75/P75</f>
        <v/>
      </c>
      <c r="W75" s="59">
        <f>T75-U75</f>
        <v/>
      </c>
    </row>
    <row r="76">
      <c r="A76" s="11" t="n">
        <v>1187</v>
      </c>
      <c r="B76" s="9" t="n">
        <v>46252</v>
      </c>
      <c r="C76" s="10" t="inlineStr">
        <is>
          <t>ECO DIAGNOSTICA</t>
        </is>
      </c>
      <c r="D76" s="10" t="inlineStr">
        <is>
          <t>Ribbon</t>
        </is>
      </c>
      <c r="E76" s="33" t="inlineStr">
        <is>
          <t>P110450108</t>
        </is>
      </c>
      <c r="F76" s="11" t="n">
        <v>60</v>
      </c>
      <c r="G76" s="12" t="n"/>
      <c r="H76" s="12" t="n"/>
      <c r="I76" s="12" t="n"/>
      <c r="J76" s="12" t="n"/>
      <c r="K76" s="12" t="n"/>
      <c r="L76" s="12" t="n"/>
      <c r="M76" s="12" t="n"/>
      <c r="N76" s="60" t="n">
        <v>14.3</v>
      </c>
      <c r="O76" s="60" t="n"/>
      <c r="P76" s="55">
        <f>F76*N76</f>
        <v/>
      </c>
      <c r="Q76" s="17" t="n">
        <v>1426.2</v>
      </c>
      <c r="R76" s="56" t="n">
        <v>122.18</v>
      </c>
      <c r="S76" s="57">
        <f>Q76*0.0919</f>
        <v/>
      </c>
      <c r="T76" s="62">
        <f>U76</f>
        <v/>
      </c>
      <c r="U76" s="57">
        <f>Q76-P76-R76-S76</f>
        <v/>
      </c>
      <c r="V76" s="21">
        <f>U76/P76</f>
        <v/>
      </c>
      <c r="W76" s="59">
        <f>T76-U76</f>
        <v/>
      </c>
    </row>
    <row r="77">
      <c r="A77" s="11" t="n">
        <v>1188</v>
      </c>
      <c r="B77" s="9" t="n"/>
      <c r="C77" s="10" t="n"/>
      <c r="D77" s="10" t="inlineStr">
        <is>
          <t>Ribbon</t>
        </is>
      </c>
      <c r="E77" s="10" t="inlineStr">
        <is>
          <t>P11074108</t>
        </is>
      </c>
      <c r="F77" s="11" t="n">
        <v>100</v>
      </c>
      <c r="G77" s="12" t="n"/>
      <c r="H77" s="12" t="n"/>
      <c r="I77" s="12" t="n"/>
      <c r="J77" s="12" t="n"/>
      <c r="K77" s="12" t="n"/>
      <c r="L77" s="12" t="n"/>
      <c r="M77" s="12" t="n"/>
      <c r="N77" s="60" t="n">
        <v>2.64</v>
      </c>
      <c r="O77" s="60" t="n"/>
      <c r="P77" s="55">
        <f>F77*N77</f>
        <v/>
      </c>
      <c r="Q77" s="17" t="n">
        <v>472</v>
      </c>
      <c r="R77" s="56" t="n">
        <v>50</v>
      </c>
      <c r="S77" s="57">
        <f>Q77*0.0919</f>
        <v/>
      </c>
      <c r="T77" s="62">
        <f>U77</f>
        <v/>
      </c>
      <c r="U77" s="57">
        <f>Q77-P77-R77-S77</f>
        <v/>
      </c>
      <c r="V77" s="21">
        <f>U77/P77</f>
        <v/>
      </c>
      <c r="W77" s="59">
        <f>T77-U77</f>
        <v/>
      </c>
    </row>
    <row r="78">
      <c r="A78" s="11" t="n">
        <v>1191</v>
      </c>
      <c r="B78" s="9" t="n"/>
      <c r="C78" s="10" t="n"/>
      <c r="D78" s="10" t="inlineStr">
        <is>
          <t>Ribbon</t>
        </is>
      </c>
      <c r="E78" s="10" t="inlineStr">
        <is>
          <t>P11074108</t>
        </is>
      </c>
      <c r="F78" s="11" t="n">
        <v>12</v>
      </c>
      <c r="G78" s="12" t="n"/>
      <c r="H78" s="12" t="n"/>
      <c r="I78" s="12" t="n"/>
      <c r="J78" s="12" t="n"/>
      <c r="K78" s="12" t="n"/>
      <c r="L78" s="12" t="n"/>
      <c r="M78" s="12" t="n"/>
      <c r="N78" s="60" t="n">
        <v>2.64</v>
      </c>
      <c r="O78" s="60" t="n"/>
      <c r="P78" s="55">
        <f>F78*N78</f>
        <v/>
      </c>
      <c r="Q78" s="17" t="n">
        <v>76.2</v>
      </c>
      <c r="R78" s="56" t="n">
        <v>10</v>
      </c>
      <c r="S78" s="57">
        <f>Q78*0.0919</f>
        <v/>
      </c>
      <c r="T78" s="62">
        <f>U78</f>
        <v/>
      </c>
      <c r="U78" s="57">
        <f>Q78-P78-R78-S78</f>
        <v/>
      </c>
      <c r="V78" s="21">
        <f>U78/P78</f>
        <v/>
      </c>
      <c r="W78" s="59">
        <f>T78-U78</f>
        <v/>
      </c>
    </row>
    <row r="79">
      <c r="A79" s="11" t="n">
        <v>1192</v>
      </c>
      <c r="B79" s="9" t="n">
        <v>46255</v>
      </c>
      <c r="C79" s="10" t="inlineStr">
        <is>
          <t>SUPERMERCADO REX</t>
        </is>
      </c>
      <c r="D79" s="10" t="inlineStr">
        <is>
          <t>Ribbon</t>
        </is>
      </c>
      <c r="E79" s="10" t="inlineStr">
        <is>
          <t>P11074108</t>
        </is>
      </c>
      <c r="F79" s="11" t="n">
        <v>200</v>
      </c>
      <c r="G79" s="12" t="n"/>
      <c r="H79" s="12" t="n"/>
      <c r="I79" s="12" t="n"/>
      <c r="J79" s="12" t="n"/>
      <c r="K79" s="12" t="n"/>
      <c r="L79" s="12" t="n"/>
      <c r="M79" s="12" t="n"/>
      <c r="N79" s="60" t="n">
        <v>2.64</v>
      </c>
      <c r="O79" s="60" t="n"/>
      <c r="P79" s="55">
        <f>F79*N79</f>
        <v/>
      </c>
      <c r="Q79" s="17" t="n">
        <v>1056</v>
      </c>
      <c r="R79" s="56" t="n">
        <v>40</v>
      </c>
      <c r="S79" s="57">
        <f>Q79*0.0919</f>
        <v/>
      </c>
      <c r="T79" s="62">
        <f>U79</f>
        <v/>
      </c>
      <c r="U79" s="57">
        <f>Q79-P79-R79-S79</f>
        <v/>
      </c>
      <c r="V79" s="21">
        <f>U79/P79</f>
        <v/>
      </c>
      <c r="W79" s="59">
        <f>T79-U79</f>
        <v/>
      </c>
    </row>
    <row r="80">
      <c r="A80" s="11" t="n">
        <v>1193</v>
      </c>
      <c r="B80" s="9" t="n">
        <v>46258</v>
      </c>
      <c r="C80" s="10" t="inlineStr">
        <is>
          <t>EPOCA CONTAGEM</t>
        </is>
      </c>
      <c r="D80" s="10" t="inlineStr">
        <is>
          <t>Ribbon</t>
        </is>
      </c>
      <c r="E80" s="10" t="inlineStr">
        <is>
          <t>P11074108</t>
        </is>
      </c>
      <c r="F80" s="11" t="n">
        <v>60</v>
      </c>
      <c r="G80" s="12" t="n"/>
      <c r="H80" s="12" t="n"/>
      <c r="I80" s="12" t="n"/>
      <c r="J80" s="12" t="n"/>
      <c r="K80" s="12" t="n"/>
      <c r="L80" s="12" t="n"/>
      <c r="M80" s="12" t="n"/>
      <c r="N80" s="60" t="n">
        <v>2.64</v>
      </c>
      <c r="O80" s="60" t="n"/>
      <c r="P80" s="55">
        <f>F80*N80</f>
        <v/>
      </c>
      <c r="Q80" s="17" t="n">
        <v>321</v>
      </c>
      <c r="R80" s="56" t="n">
        <v>40</v>
      </c>
      <c r="S80" s="57">
        <f>Q80*0.0919</f>
        <v/>
      </c>
      <c r="T80" s="62">
        <f>U80</f>
        <v/>
      </c>
      <c r="U80" s="57">
        <f>Q80-P80-R80-S80</f>
        <v/>
      </c>
      <c r="V80" s="21">
        <f>U80/P80</f>
        <v/>
      </c>
      <c r="W80" s="59">
        <f>T80-U80</f>
        <v/>
      </c>
    </row>
    <row r="81">
      <c r="A81" s="11" t="n">
        <v>1193</v>
      </c>
      <c r="B81" s="9" t="n"/>
      <c r="C81" s="34" t="n"/>
      <c r="D81" s="10" t="inlineStr">
        <is>
          <t>Ribbon</t>
        </is>
      </c>
      <c r="E81" s="10" t="inlineStr">
        <is>
          <t>P110450108</t>
        </is>
      </c>
      <c r="F81" s="11" t="n">
        <v>48</v>
      </c>
      <c r="G81" s="12" t="n"/>
      <c r="H81" s="12" t="n"/>
      <c r="I81" s="12" t="n"/>
      <c r="J81" s="12" t="n"/>
      <c r="K81" s="12" t="n"/>
      <c r="L81" s="12" t="n"/>
      <c r="M81" s="12" t="n"/>
      <c r="N81" s="60" t="n">
        <v>14.3</v>
      </c>
      <c r="O81" s="60" t="n"/>
      <c r="P81" s="55">
        <f>F81*N81</f>
        <v/>
      </c>
      <c r="Q81" s="17" t="n">
        <v>1310.4</v>
      </c>
      <c r="R81" s="56" t="n">
        <v>20</v>
      </c>
      <c r="S81" s="57">
        <f>Q81*0.0919</f>
        <v/>
      </c>
      <c r="T81" s="62">
        <f>U81</f>
        <v/>
      </c>
      <c r="U81" s="57">
        <f>Q81-P81-R81-S81</f>
        <v/>
      </c>
      <c r="V81" s="21">
        <f>U81/P81</f>
        <v/>
      </c>
      <c r="W81" s="59">
        <f>T81-U81</f>
        <v/>
      </c>
    </row>
    <row r="82">
      <c r="A82" s="11" t="n">
        <v>1194</v>
      </c>
      <c r="B82" s="9" t="n">
        <v>46258</v>
      </c>
      <c r="C82" s="10" t="inlineStr">
        <is>
          <t>NATIVITA</t>
        </is>
      </c>
      <c r="D82" s="10" t="inlineStr">
        <is>
          <t>Ribbon</t>
        </is>
      </c>
      <c r="E82" s="10" t="inlineStr">
        <is>
          <t>P11074108</t>
        </is>
      </c>
      <c r="F82" s="11" t="n">
        <v>200</v>
      </c>
      <c r="G82" s="12" t="n"/>
      <c r="H82" s="12" t="n"/>
      <c r="I82" s="12" t="n"/>
      <c r="J82" s="12" t="n"/>
      <c r="K82" s="12" t="n"/>
      <c r="L82" s="12" t="n"/>
      <c r="M82" s="12" t="n"/>
      <c r="N82" s="60" t="n">
        <v>2.64</v>
      </c>
      <c r="O82" s="60" t="n"/>
      <c r="P82" s="55">
        <f>F82*N82</f>
        <v/>
      </c>
      <c r="Q82" s="17" t="n">
        <v>976</v>
      </c>
      <c r="R82" s="56" t="n">
        <v>104.43</v>
      </c>
      <c r="S82" s="57">
        <f>Q82*0.0919</f>
        <v/>
      </c>
      <c r="T82" s="62">
        <f>U82</f>
        <v/>
      </c>
      <c r="U82" s="57">
        <f>Q82-P82-R82-S82</f>
        <v/>
      </c>
      <c r="V82" s="21">
        <f>U82/P82</f>
        <v/>
      </c>
      <c r="W82" s="59">
        <f>T82-U82</f>
        <v/>
      </c>
    </row>
    <row r="83">
      <c r="A83" s="11" t="n">
        <v>1195</v>
      </c>
      <c r="B83" s="9" t="n">
        <v>46258</v>
      </c>
      <c r="C83" s="10" t="inlineStr">
        <is>
          <t>COLORMAX</t>
        </is>
      </c>
      <c r="D83" s="10" t="inlineStr">
        <is>
          <t>Ribbon</t>
        </is>
      </c>
      <c r="E83" s="10" t="inlineStr">
        <is>
          <t>P11074108</t>
        </is>
      </c>
      <c r="F83" s="11" t="n">
        <v>48</v>
      </c>
      <c r="G83" s="12" t="n"/>
      <c r="H83" s="12" t="n"/>
      <c r="I83" s="12" t="n"/>
      <c r="J83" s="12" t="n"/>
      <c r="K83" s="12" t="n"/>
      <c r="L83" s="12" t="n"/>
      <c r="M83" s="12" t="n"/>
      <c r="N83" s="60" t="n">
        <v>2.64</v>
      </c>
      <c r="O83" s="60" t="n"/>
      <c r="P83" s="55">
        <f>F83*N83</f>
        <v/>
      </c>
      <c r="Q83" s="17" t="n">
        <v>258.72</v>
      </c>
      <c r="R83" s="56" t="n">
        <v>0</v>
      </c>
      <c r="S83" s="57">
        <f>Q83*0.0919</f>
        <v/>
      </c>
      <c r="T83" s="62">
        <f>U83</f>
        <v/>
      </c>
      <c r="U83" s="57">
        <f>Q83-P83-R83-S83</f>
        <v/>
      </c>
      <c r="V83" s="21">
        <f>U83/P83</f>
        <v/>
      </c>
      <c r="W83" s="59">
        <f>T83-U83</f>
        <v/>
      </c>
    </row>
    <row r="84">
      <c r="A84" s="11" t="n">
        <v>1197</v>
      </c>
      <c r="B84" s="9" t="n"/>
      <c r="C84" s="10" t="n"/>
      <c r="D84" s="10" t="inlineStr">
        <is>
          <t>Ribbon</t>
        </is>
      </c>
      <c r="E84" s="10" t="inlineStr">
        <is>
          <t>300276/110</t>
        </is>
      </c>
      <c r="F84" s="11" t="n">
        <v>96</v>
      </c>
      <c r="G84" s="12" t="n"/>
      <c r="H84" s="12" t="n"/>
      <c r="I84" s="12" t="n"/>
      <c r="J84" s="12" t="n"/>
      <c r="K84" s="12" t="n"/>
      <c r="L84" s="12" t="n"/>
      <c r="M84" s="12" t="n"/>
      <c r="N84" s="60" t="n">
        <v>21.96</v>
      </c>
      <c r="O84" s="60" t="n"/>
      <c r="P84" s="55">
        <f>F84*N84</f>
        <v/>
      </c>
      <c r="Q84" s="29" t="n">
        <v>2544</v>
      </c>
      <c r="R84" s="56" t="n">
        <v>100</v>
      </c>
      <c r="S84" s="57">
        <f>Q84*0.0919</f>
        <v/>
      </c>
      <c r="T84" s="62">
        <f>U84</f>
        <v/>
      </c>
      <c r="U84" s="57">
        <f>Q84-P84-R84-S84</f>
        <v/>
      </c>
      <c r="V84" s="21">
        <f>U84/P84</f>
        <v/>
      </c>
      <c r="W84" s="59">
        <f>T84-U84</f>
        <v/>
      </c>
    </row>
    <row r="85">
      <c r="A85" s="11" t="n">
        <v>1197</v>
      </c>
      <c r="B85" s="9" t="n"/>
      <c r="C85" s="10" t="n"/>
      <c r="D85" s="10" t="inlineStr">
        <is>
          <t>Ribbon</t>
        </is>
      </c>
      <c r="E85" s="10" t="inlineStr">
        <is>
          <t>300445/110</t>
        </is>
      </c>
      <c r="F85" s="11" t="n">
        <v>128</v>
      </c>
      <c r="G85" s="12" t="n"/>
      <c r="H85" s="12" t="n"/>
      <c r="I85" s="12" t="n"/>
      <c r="J85" s="12" t="n"/>
      <c r="K85" s="12" t="n"/>
      <c r="L85" s="12" t="n"/>
      <c r="M85" s="12" t="n"/>
      <c r="N85" s="60" t="n">
        <v>32</v>
      </c>
      <c r="O85" s="60" t="n"/>
      <c r="P85" s="55">
        <f>F85*N85</f>
        <v/>
      </c>
      <c r="Q85" s="17" t="n">
        <v>5088</v>
      </c>
      <c r="R85" s="56" t="n">
        <v>200</v>
      </c>
      <c r="S85" s="57">
        <f>Q85*0.0919</f>
        <v/>
      </c>
      <c r="T85" s="62">
        <f>U85</f>
        <v/>
      </c>
      <c r="U85" s="57">
        <f>Q85-P85-R85-S85</f>
        <v/>
      </c>
      <c r="V85" s="21">
        <f>U85/P85</f>
        <v/>
      </c>
      <c r="W85" s="59">
        <f>T85-U85</f>
        <v/>
      </c>
    </row>
    <row r="86">
      <c r="A86" s="11" t="n">
        <v>1199</v>
      </c>
      <c r="B86" s="9" t="n"/>
      <c r="C86" s="10" t="n"/>
      <c r="D86" s="10" t="inlineStr">
        <is>
          <t>Ribbon</t>
        </is>
      </c>
      <c r="E86" s="10" t="inlineStr">
        <is>
          <t>P11074108</t>
        </is>
      </c>
      <c r="F86" s="11" t="n">
        <v>40</v>
      </c>
      <c r="G86" s="12" t="n"/>
      <c r="H86" s="12" t="n"/>
      <c r="I86" s="12" t="n"/>
      <c r="J86" s="12" t="n"/>
      <c r="K86" s="12" t="n"/>
      <c r="L86" s="12" t="n"/>
      <c r="M86" s="12" t="n"/>
      <c r="N86" s="60" t="n">
        <v>2.64</v>
      </c>
      <c r="O86" s="60" t="n"/>
      <c r="P86" s="55">
        <f>F86*N86</f>
        <v/>
      </c>
      <c r="Q86" s="29" t="n">
        <v>240</v>
      </c>
      <c r="R86" s="56" t="n">
        <v>38.8</v>
      </c>
      <c r="S86" s="57">
        <f>Q86*0.0919</f>
        <v/>
      </c>
      <c r="T86" s="62">
        <f>U86</f>
        <v/>
      </c>
      <c r="U86" s="57">
        <f>Q86-P86-R86-S86</f>
        <v/>
      </c>
      <c r="V86" s="21">
        <f>U86/P86</f>
        <v/>
      </c>
      <c r="W86" s="59">
        <f>T86-U86</f>
        <v/>
      </c>
    </row>
    <row r="87">
      <c r="A87" s="11" t="n">
        <v>1200</v>
      </c>
      <c r="B87" s="9" t="n">
        <v>46260</v>
      </c>
      <c r="C87" s="10" t="inlineStr">
        <is>
          <t>ORTOBOM MT</t>
        </is>
      </c>
      <c r="D87" s="10" t="inlineStr">
        <is>
          <t>Ribbon</t>
        </is>
      </c>
      <c r="E87" s="10" t="inlineStr">
        <is>
          <t>P110450108</t>
        </is>
      </c>
      <c r="F87" s="11" t="n">
        <v>72</v>
      </c>
      <c r="G87" s="12" t="n"/>
      <c r="H87" s="12" t="n"/>
      <c r="I87" s="12" t="n"/>
      <c r="J87" s="12" t="n"/>
      <c r="K87" s="12" t="n"/>
      <c r="L87" s="12" t="n"/>
      <c r="M87" s="12" t="n"/>
      <c r="N87" s="60" t="n">
        <v>14.3</v>
      </c>
      <c r="O87" s="60" t="n"/>
      <c r="P87" s="55">
        <f>F87*N87</f>
        <v/>
      </c>
      <c r="Q87" s="17" t="n">
        <v>1767.6</v>
      </c>
      <c r="R87" s="56" t="n">
        <v>119.28</v>
      </c>
      <c r="S87" s="57">
        <f>Q87*0.0919</f>
        <v/>
      </c>
      <c r="T87" s="62">
        <f>U87</f>
        <v/>
      </c>
      <c r="U87" s="57">
        <f>Q87-P87-R87-S87</f>
        <v/>
      </c>
      <c r="V87" s="21">
        <f>U87/P87</f>
        <v/>
      </c>
      <c r="W87" s="59">
        <f>T87-U87</f>
        <v/>
      </c>
    </row>
    <row r="88">
      <c r="A88" s="11" t="n">
        <v>1201</v>
      </c>
      <c r="B88" s="9" t="n">
        <v>46260</v>
      </c>
      <c r="C88" s="10" t="inlineStr">
        <is>
          <t>INJEX</t>
        </is>
      </c>
      <c r="D88" s="10" t="inlineStr">
        <is>
          <t>Ribbon</t>
        </is>
      </c>
      <c r="E88" s="10" t="inlineStr">
        <is>
          <t>P110450108</t>
        </is>
      </c>
      <c r="F88" s="11" t="n">
        <v>72</v>
      </c>
      <c r="G88" s="12" t="n"/>
      <c r="H88" s="12" t="n"/>
      <c r="I88" s="12" t="n"/>
      <c r="J88" s="12" t="n"/>
      <c r="K88" s="12" t="n"/>
      <c r="L88" s="12" t="n"/>
      <c r="M88" s="12" t="n"/>
      <c r="N88" s="60" t="n">
        <v>14.3</v>
      </c>
      <c r="O88" s="60" t="n"/>
      <c r="P88" s="55">
        <f>F88*N88</f>
        <v/>
      </c>
      <c r="Q88" s="29" t="n">
        <v>1692</v>
      </c>
      <c r="R88" s="56" t="n">
        <v>125.39</v>
      </c>
      <c r="S88" s="57">
        <f>Q88*0.0919</f>
        <v/>
      </c>
      <c r="T88" s="62">
        <f>U88</f>
        <v/>
      </c>
      <c r="U88" s="57">
        <f>Q88-P88-R88-S88</f>
        <v/>
      </c>
      <c r="V88" s="21">
        <f>U88/P88</f>
        <v/>
      </c>
      <c r="W88" s="59">
        <f>T88-U88</f>
        <v/>
      </c>
    </row>
    <row r="89">
      <c r="A89" s="11" t="n">
        <v>1202</v>
      </c>
      <c r="B89" s="9" t="n">
        <v>46261</v>
      </c>
      <c r="C89" s="10" t="inlineStr">
        <is>
          <t>SUPERMERCADO REX</t>
        </is>
      </c>
      <c r="D89" s="10" t="inlineStr">
        <is>
          <t>Ribbon cartão</t>
        </is>
      </c>
      <c r="E89" s="10" t="inlineStr">
        <is>
          <t>525100-004-S75</t>
        </is>
      </c>
      <c r="F89" s="11" t="n">
        <v>1</v>
      </c>
      <c r="G89" s="12" t="n"/>
      <c r="H89" s="12" t="n"/>
      <c r="I89" s="12" t="n"/>
      <c r="J89" s="12" t="n"/>
      <c r="K89" s="12" t="n"/>
      <c r="L89" s="12" t="n"/>
      <c r="M89" s="12" t="n"/>
      <c r="N89" s="60" t="n">
        <v>586</v>
      </c>
      <c r="O89" s="60" t="n"/>
      <c r="P89" s="55">
        <f>F89*N89</f>
        <v/>
      </c>
      <c r="Q89" s="29" t="n">
        <v>942.62</v>
      </c>
      <c r="R89" s="56" t="n">
        <v>0</v>
      </c>
      <c r="S89" s="57">
        <f>Q89*0.0919</f>
        <v/>
      </c>
      <c r="T89" s="62">
        <f>U89</f>
        <v/>
      </c>
      <c r="U89" s="57">
        <f>Q89-P89-R89-S89</f>
        <v/>
      </c>
      <c r="V89" s="21">
        <f>U89/P89</f>
        <v/>
      </c>
      <c r="W89" s="59">
        <f>T89-U89</f>
        <v/>
      </c>
    </row>
    <row r="90">
      <c r="A90" s="11" t="n">
        <v>1202</v>
      </c>
      <c r="B90" s="9" t="n"/>
      <c r="C90" s="10" t="n"/>
      <c r="D90" s="10" t="inlineStr">
        <is>
          <t>Ribbon cartão</t>
        </is>
      </c>
      <c r="E90" s="10" t="inlineStr">
        <is>
          <t>SC0548</t>
        </is>
      </c>
      <c r="F90" s="11" t="n">
        <v>200</v>
      </c>
      <c r="G90" s="12" t="n"/>
      <c r="H90" s="12" t="n"/>
      <c r="I90" s="12" t="n"/>
      <c r="J90" s="12" t="n"/>
      <c r="K90" s="12" t="n"/>
      <c r="L90" s="12" t="n"/>
      <c r="M90" s="12" t="n"/>
      <c r="N90" s="60" t="n">
        <v>0.54</v>
      </c>
      <c r="O90" s="60" t="n"/>
      <c r="P90" s="55">
        <f>F90*N90</f>
        <v/>
      </c>
      <c r="Q90" s="29" t="n">
        <v>156</v>
      </c>
      <c r="R90" s="56" t="n">
        <v>40</v>
      </c>
      <c r="S90" s="57">
        <f>Q90*0.0919</f>
        <v/>
      </c>
      <c r="T90" s="62">
        <f>U90</f>
        <v/>
      </c>
      <c r="U90" s="57">
        <f>Q90-P90-R90-S90</f>
        <v/>
      </c>
      <c r="V90" s="21">
        <f>U90/P90</f>
        <v/>
      </c>
      <c r="W90" s="59">
        <f>T90-U90</f>
        <v/>
      </c>
    </row>
    <row r="91">
      <c r="A91" s="11" t="n">
        <v>1203</v>
      </c>
      <c r="B91" s="9" t="n">
        <v>46265</v>
      </c>
      <c r="C91" s="10" t="inlineStr">
        <is>
          <t>K.A.Y. COMPONENTES</t>
        </is>
      </c>
      <c r="D91" s="10" t="inlineStr">
        <is>
          <t>Ribbon</t>
        </is>
      </c>
      <c r="E91" s="10" t="inlineStr">
        <is>
          <t>P11074108</t>
        </is>
      </c>
      <c r="F91" s="11" t="n">
        <v>2500</v>
      </c>
      <c r="G91" s="12" t="n"/>
      <c r="H91" s="12" t="n"/>
      <c r="I91" s="12" t="n"/>
      <c r="J91" s="12" t="n"/>
      <c r="K91" s="12" t="n"/>
      <c r="L91" s="12" t="n"/>
      <c r="M91" s="12" t="n"/>
      <c r="N91" s="60" t="n">
        <v>2.64</v>
      </c>
      <c r="O91" s="60" t="n"/>
      <c r="P91" s="55">
        <f>F91*N91</f>
        <v/>
      </c>
      <c r="Q91" s="29" t="n">
        <v>9225</v>
      </c>
      <c r="R91" s="56" t="n">
        <v>0</v>
      </c>
      <c r="S91" s="57">
        <f>Q91*0.0919</f>
        <v/>
      </c>
      <c r="T91" s="62">
        <f>U91</f>
        <v/>
      </c>
      <c r="U91" s="57">
        <f>Q91-P91-R91-S91</f>
        <v/>
      </c>
      <c r="V91" s="21">
        <f>U91/P91</f>
        <v/>
      </c>
      <c r="W91" s="59">
        <f>T91-U91</f>
        <v/>
      </c>
    </row>
    <row r="92">
      <c r="A92" s="11" t="n">
        <v>1203</v>
      </c>
      <c r="B92" s="9" t="n"/>
      <c r="C92" s="10" t="n"/>
      <c r="D92" s="10" t="inlineStr">
        <is>
          <t>Ribbon</t>
        </is>
      </c>
      <c r="E92" s="10" t="inlineStr">
        <is>
          <t>P110450108</t>
        </is>
      </c>
      <c r="F92" s="11" t="n">
        <v>240</v>
      </c>
      <c r="G92" s="12" t="n"/>
      <c r="H92" s="12" t="n"/>
      <c r="I92" s="12" t="n"/>
      <c r="J92" s="12" t="n"/>
      <c r="K92" s="12" t="n"/>
      <c r="L92" s="12" t="n"/>
      <c r="M92" s="12" t="n"/>
      <c r="N92" s="60" t="n">
        <v>14.3</v>
      </c>
      <c r="O92" s="60" t="n"/>
      <c r="P92" s="55">
        <f>F92*N92</f>
        <v/>
      </c>
      <c r="Q92" s="29" t="n">
        <v>5179.2</v>
      </c>
      <c r="R92" s="56" t="n">
        <v>0</v>
      </c>
      <c r="S92" s="57">
        <f>Q92*0.0919</f>
        <v/>
      </c>
      <c r="T92" s="62">
        <f>U92</f>
        <v/>
      </c>
      <c r="U92" s="57">
        <f>Q92-P92-R92-S92</f>
        <v/>
      </c>
      <c r="V92" s="21">
        <f>U92/P92</f>
        <v/>
      </c>
      <c r="W92" s="59">
        <f>T92-U92</f>
        <v/>
      </c>
    </row>
    <row r="93">
      <c r="A93" s="11" t="n">
        <v>1204</v>
      </c>
      <c r="B93" s="9" t="n"/>
      <c r="C93" s="10" t="n"/>
      <c r="D93" s="10" t="inlineStr">
        <is>
          <t>Ribbon</t>
        </is>
      </c>
      <c r="E93" s="10" t="inlineStr">
        <is>
          <t>P110450108</t>
        </is>
      </c>
      <c r="F93" s="11" t="n">
        <v>4</v>
      </c>
      <c r="G93" s="12" t="n"/>
      <c r="H93" s="12" t="n"/>
      <c r="I93" s="12" t="n"/>
      <c r="J93" s="12" t="n"/>
      <c r="K93" s="12" t="n"/>
      <c r="L93" s="12" t="n"/>
      <c r="M93" s="12" t="n"/>
      <c r="N93" s="60" t="n">
        <v>14.3</v>
      </c>
      <c r="O93" s="60" t="n"/>
      <c r="P93" s="55">
        <f>F93*N93</f>
        <v/>
      </c>
      <c r="Q93" s="29" t="n">
        <v>100</v>
      </c>
      <c r="R93" s="66" t="n"/>
      <c r="S93" s="57">
        <f>Q93*0.0919</f>
        <v/>
      </c>
      <c r="T93" s="62">
        <f>U93</f>
        <v/>
      </c>
      <c r="U93" s="57">
        <f>Q93-P93-R93-S93</f>
        <v/>
      </c>
      <c r="V93" s="21">
        <f>U93/P93</f>
        <v/>
      </c>
      <c r="W93" s="59">
        <f>T93-U93</f>
        <v/>
      </c>
    </row>
    <row r="94">
      <c r="A94" s="8" t="n">
        <v>1181</v>
      </c>
      <c r="B94" s="9" t="n">
        <v>46248</v>
      </c>
      <c r="C94" s="32" t="inlineStr">
        <is>
          <t>FIGUEIREDO SM</t>
        </is>
      </c>
      <c r="D94" s="10" t="inlineStr">
        <is>
          <t>Etiqueta</t>
        </is>
      </c>
      <c r="E94" s="33" t="inlineStr">
        <is>
          <t>EB100X80X39</t>
        </is>
      </c>
      <c r="F94" s="11" t="n">
        <v>30</v>
      </c>
      <c r="G94" s="12" t="n">
        <v>100</v>
      </c>
      <c r="H94" s="12" t="n">
        <v>80</v>
      </c>
      <c r="I94" s="12">
        <f>((G94+6)*(H94+3))/1000000</f>
        <v/>
      </c>
      <c r="J94" s="12" t="n">
        <v>4.17</v>
      </c>
      <c r="K94" s="12" t="n">
        <v>0.34</v>
      </c>
      <c r="L94" s="12" t="n">
        <v>470</v>
      </c>
      <c r="M94" s="53">
        <f>(I94*J94*L94)+K94</f>
        <v/>
      </c>
      <c r="N94" s="25" t="n">
        <v>17.66</v>
      </c>
      <c r="O94" s="15">
        <f>N94/M94</f>
        <v/>
      </c>
      <c r="P94" s="55">
        <f>F94*N94</f>
        <v/>
      </c>
      <c r="Q94" s="29" t="n">
        <v>973.8</v>
      </c>
      <c r="R94" s="56" t="n">
        <v>40</v>
      </c>
      <c r="S94" s="57">
        <f>Q94*0.09</f>
        <v/>
      </c>
      <c r="T94" s="58">
        <f>Q94-((M94*F94)+R94+S94)</f>
        <v/>
      </c>
      <c r="U94" s="57">
        <f>Q94-P94-R94-S94</f>
        <v/>
      </c>
      <c r="V94" s="21">
        <f>U94/P94</f>
        <v/>
      </c>
      <c r="W94" s="59">
        <f>T94-U94</f>
        <v/>
      </c>
    </row>
    <row r="95">
      <c r="A95" s="8" t="n">
        <v>1169</v>
      </c>
      <c r="B95" s="9" t="n">
        <v>46239</v>
      </c>
      <c r="C95" s="10" t="inlineStr">
        <is>
          <t>FIGUEIREDO SM</t>
        </is>
      </c>
      <c r="D95" s="10" t="inlineStr">
        <is>
          <t>Etiqueta</t>
        </is>
      </c>
      <c r="E95" s="10" t="inlineStr">
        <is>
          <t>EB100X80X39</t>
        </is>
      </c>
      <c r="F95" s="11" t="n">
        <v>25</v>
      </c>
      <c r="G95" s="12" t="n">
        <v>100</v>
      </c>
      <c r="H95" s="12" t="n">
        <v>80</v>
      </c>
      <c r="I95" s="12">
        <f>((G95+6)*(H95+3))/1000000</f>
        <v/>
      </c>
      <c r="J95" s="12" t="n">
        <v>4.17</v>
      </c>
      <c r="K95" s="12" t="n">
        <v>0.34</v>
      </c>
      <c r="L95" s="12" t="n">
        <v>470</v>
      </c>
      <c r="M95" s="53">
        <f>(I95*J95*L95)+K95</f>
        <v/>
      </c>
      <c r="N95" s="60" t="n">
        <v>17.69</v>
      </c>
      <c r="O95" s="15">
        <f>N95/M95</f>
        <v/>
      </c>
      <c r="P95" s="55">
        <f>F95*N95</f>
        <v/>
      </c>
      <c r="Q95" s="17" t="n">
        <v>811.5</v>
      </c>
      <c r="R95" s="56" t="n">
        <v>40</v>
      </c>
      <c r="S95" s="57">
        <f>Q95*0.0919</f>
        <v/>
      </c>
      <c r="T95" s="58">
        <f>Q95-((M95*F95)+R95+S95)</f>
        <v/>
      </c>
      <c r="U95" s="57">
        <f>Q95-P95-R95-S95</f>
        <v/>
      </c>
      <c r="V95" s="21">
        <f>U95/P95</f>
        <v/>
      </c>
      <c r="W95" s="59">
        <f>T95-U95</f>
        <v/>
      </c>
    </row>
    <row r="96" ht="29" customHeight="1">
      <c r="A96" s="8" t="n">
        <v>1189</v>
      </c>
      <c r="B96" s="9" t="n">
        <v>46254</v>
      </c>
      <c r="C96" s="10" t="inlineStr">
        <is>
          <t>INJEX</t>
        </is>
      </c>
      <c r="D96" s="10" t="inlineStr">
        <is>
          <t>Rótulo</t>
        </is>
      </c>
      <c r="E96" s="36" t="inlineStr">
        <is>
          <t xml:space="preserve">	rot.03.001.00395</t>
        </is>
      </c>
      <c r="F96" s="11" t="n">
        <v>32</v>
      </c>
      <c r="G96" s="12" t="n">
        <v>100</v>
      </c>
      <c r="H96" s="12" t="n">
        <v>70</v>
      </c>
      <c r="I96" s="12">
        <f>((G96+6)*(H96+3))/1000000</f>
        <v/>
      </c>
      <c r="J96" s="12" t="n">
        <v>3.26</v>
      </c>
      <c r="K96" s="12" t="n">
        <v>0.34</v>
      </c>
      <c r="L96" s="12" t="n">
        <v>1000</v>
      </c>
      <c r="M96" s="53">
        <f>(I96*J96*L96)+K96</f>
        <v/>
      </c>
      <c r="N96" s="60" t="n">
        <v>25.7</v>
      </c>
      <c r="O96" s="15">
        <f>N96/M96</f>
        <v/>
      </c>
      <c r="P96" s="55">
        <f>F96*N96</f>
        <v/>
      </c>
      <c r="Q96" s="17" t="n">
        <v>1280</v>
      </c>
      <c r="R96" s="56" t="n">
        <v>82.59</v>
      </c>
      <c r="S96" s="57">
        <f>Q96*0.0919</f>
        <v/>
      </c>
      <c r="T96" s="58">
        <f>Q96-((M96*F96)+R96+S96)</f>
        <v/>
      </c>
      <c r="U96" s="57">
        <f>Q96-P96-R96-S96</f>
        <v/>
      </c>
      <c r="V96" s="21">
        <f>U96/P96</f>
        <v/>
      </c>
      <c r="W96" s="59">
        <f>T96-U96</f>
        <v/>
      </c>
    </row>
    <row r="97">
      <c r="A97" s="8" t="n">
        <v>1196</v>
      </c>
      <c r="B97" s="9" t="n"/>
      <c r="C97" s="10" t="inlineStr">
        <is>
          <t>LABORCLINICA</t>
        </is>
      </c>
      <c r="D97" s="10" t="inlineStr">
        <is>
          <t>Etiqueta</t>
        </is>
      </c>
      <c r="E97" s="10" t="inlineStr">
        <is>
          <t>EBOPP50X30</t>
        </is>
      </c>
      <c r="F97" s="11" t="n">
        <v>5</v>
      </c>
      <c r="G97" s="12" t="n">
        <v>50</v>
      </c>
      <c r="H97" s="12" t="n">
        <v>30</v>
      </c>
      <c r="I97" s="12">
        <f>((G97+6)*(H97+3))/1000000</f>
        <v/>
      </c>
      <c r="J97" s="12" t="n">
        <v>4.45</v>
      </c>
      <c r="K97" s="12" t="n">
        <v>0.24</v>
      </c>
      <c r="L97" s="12" t="n">
        <v>1500</v>
      </c>
      <c r="M97" s="53">
        <f>(I97*J97*L97)+K97</f>
        <v/>
      </c>
      <c r="N97" s="60" t="n">
        <v>13.45</v>
      </c>
      <c r="O97" s="15">
        <f>N97/M97</f>
        <v/>
      </c>
      <c r="P97" s="55">
        <f>F97*N97</f>
        <v/>
      </c>
      <c r="Q97" s="17" t="n">
        <v>108.1</v>
      </c>
      <c r="R97" s="56" t="n">
        <v>0</v>
      </c>
      <c r="S97" s="57">
        <f>Q97*0.0919</f>
        <v/>
      </c>
      <c r="T97" s="58">
        <f>Q97-((M97*F97)+R97+S97)</f>
        <v/>
      </c>
      <c r="U97" s="57">
        <f>Q97-P97-R97-S97</f>
        <v/>
      </c>
      <c r="V97" s="21">
        <f>U97/P97</f>
        <v/>
      </c>
      <c r="W97" s="59">
        <f>T97-U97</f>
        <v/>
      </c>
    </row>
    <row r="98">
      <c r="A98" s="8" t="n">
        <v>1195</v>
      </c>
      <c r="B98" s="9" t="n"/>
      <c r="C98" s="37" t="inlineStr">
        <is>
          <t>COLORMAX compramos?</t>
        </is>
      </c>
      <c r="D98" s="10" t="inlineStr">
        <is>
          <t>Etiqueta Colorida</t>
        </is>
      </c>
      <c r="E98" s="10" t="inlineStr">
        <is>
          <t>ECOU100X50AMARELA</t>
        </is>
      </c>
      <c r="F98" s="11" t="n">
        <v>1</v>
      </c>
      <c r="G98" s="12" t="n">
        <v>100</v>
      </c>
      <c r="H98" s="12" t="n">
        <v>50</v>
      </c>
      <c r="I98" s="12">
        <f>((G98+6)*(H98+3))/1000000</f>
        <v/>
      </c>
      <c r="J98" s="12" t="n">
        <v>3.26</v>
      </c>
      <c r="K98" s="12" t="n">
        <v>0.34</v>
      </c>
      <c r="L98" s="12" t="n">
        <v>500</v>
      </c>
      <c r="M98" s="53">
        <f>(I98*J98*L98)+K98</f>
        <v/>
      </c>
      <c r="N98" s="60" t="n">
        <v>14.3</v>
      </c>
      <c r="O98" s="15">
        <f>N98/M98</f>
        <v/>
      </c>
      <c r="P98" s="55">
        <f>F98*N98</f>
        <v/>
      </c>
      <c r="Q98" s="17" t="n">
        <v>25.89</v>
      </c>
      <c r="R98" s="56" t="n">
        <v>0</v>
      </c>
      <c r="S98" s="57">
        <f>Q98*0.0919</f>
        <v/>
      </c>
      <c r="T98" s="58">
        <f>Q98-((M98*F98)+R98+S98)</f>
        <v/>
      </c>
      <c r="U98" s="57">
        <f>Q98-P98-R98-S98</f>
        <v/>
      </c>
      <c r="V98" s="21">
        <f>U98/P98</f>
        <v/>
      </c>
      <c r="W98" s="59">
        <f>T98-U98</f>
        <v/>
      </c>
    </row>
    <row r="99">
      <c r="A99" s="8" t="n">
        <v>1191</v>
      </c>
      <c r="B99" s="9" t="n">
        <v>46255</v>
      </c>
      <c r="C99" s="10" t="inlineStr">
        <is>
          <t>MIXVET</t>
        </is>
      </c>
      <c r="D99" s="10" t="inlineStr">
        <is>
          <t>Etiqueta</t>
        </is>
      </c>
      <c r="E99" s="10" t="inlineStr">
        <is>
          <t>ETCOU100100T1</t>
        </is>
      </c>
      <c r="F99" s="11" t="n">
        <v>50</v>
      </c>
      <c r="G99" s="12" t="n">
        <v>100</v>
      </c>
      <c r="H99" s="12" t="n">
        <v>100</v>
      </c>
      <c r="I99" s="12">
        <f>((G99+6)*(H99+3))/1000000</f>
        <v/>
      </c>
      <c r="J99" s="12" t="n">
        <v>3.26</v>
      </c>
      <c r="K99" s="12" t="n">
        <v>0.34</v>
      </c>
      <c r="L99" s="12" t="n">
        <v>310</v>
      </c>
      <c r="M99" s="53">
        <f>(I99*J99*L99)+K99</f>
        <v/>
      </c>
      <c r="N99" s="60" t="n">
        <v>11.5</v>
      </c>
      <c r="O99" s="15">
        <f>N99/M99</f>
        <v/>
      </c>
      <c r="P99" s="55">
        <f>F99*N99</f>
        <v/>
      </c>
      <c r="Q99" s="17" t="n">
        <v>1007</v>
      </c>
      <c r="R99" s="56" t="n">
        <v>40</v>
      </c>
      <c r="S99" s="57">
        <f>Q99*0.0919</f>
        <v/>
      </c>
      <c r="T99" s="58">
        <f>Q99-((M99*F99)+R99+S99)</f>
        <v/>
      </c>
      <c r="U99" s="57">
        <f>Q99-P99-R99-S99</f>
        <v/>
      </c>
      <c r="V99" s="21">
        <f>U99/P99</f>
        <v/>
      </c>
      <c r="W99" s="59">
        <f>T99-U99</f>
        <v/>
      </c>
    </row>
    <row r="100">
      <c r="A100" s="8" t="n">
        <v>1199</v>
      </c>
      <c r="B100" s="9" t="n">
        <v>46260</v>
      </c>
      <c r="C100" s="10" t="inlineStr">
        <is>
          <t>DISTRIBEM</t>
        </is>
      </c>
      <c r="D100" s="10" t="inlineStr">
        <is>
          <t>Etiqueta Colorida</t>
        </is>
      </c>
      <c r="E100" s="10" t="inlineStr">
        <is>
          <t>rot.COUCHE10X5AZUL</t>
        </is>
      </c>
      <c r="F100" s="11" t="n">
        <v>20</v>
      </c>
      <c r="G100" s="12" t="n">
        <v>100</v>
      </c>
      <c r="H100" s="12" t="n">
        <v>50</v>
      </c>
      <c r="I100" s="12">
        <f>((G100+6)*(H100+3))/1000000</f>
        <v/>
      </c>
      <c r="J100" s="12" t="n">
        <v>3.14</v>
      </c>
      <c r="K100" s="12" t="n">
        <v>0.34</v>
      </c>
      <c r="L100" s="12" t="n">
        <v>500</v>
      </c>
      <c r="M100" s="53">
        <f>(I100*J100*L100)+K100</f>
        <v/>
      </c>
      <c r="N100" s="60" t="n">
        <v>9.550000000000001</v>
      </c>
      <c r="O100" s="60">
        <f>N100/M100</f>
        <v/>
      </c>
      <c r="P100" s="55">
        <f>F100*N100</f>
        <v/>
      </c>
      <c r="Q100" s="29" t="n">
        <v>319.8</v>
      </c>
      <c r="R100" s="56" t="n">
        <v>15</v>
      </c>
      <c r="S100" s="57">
        <f>Q100*0.0919</f>
        <v/>
      </c>
      <c r="T100" s="58">
        <f>Q100-((M100*F100)+R100+S100)</f>
        <v/>
      </c>
      <c r="U100" s="57">
        <f>Q100-P100-R100-S100</f>
        <v/>
      </c>
      <c r="V100" s="21">
        <f>U100/P100</f>
        <v/>
      </c>
      <c r="W100" s="59">
        <f>T100-U100</f>
        <v/>
      </c>
    </row>
    <row r="101">
      <c r="A101" s="8" t="n">
        <v>1199</v>
      </c>
      <c r="B101" s="9" t="n"/>
      <c r="C101" s="10" t="inlineStr">
        <is>
          <t>DISTRIBEM</t>
        </is>
      </c>
      <c r="D101" s="10" t="inlineStr">
        <is>
          <t>Etiqueta Colorida</t>
        </is>
      </c>
      <c r="E101" s="10" t="inlineStr">
        <is>
          <t>rot.COUCHE10X5LARANJA</t>
        </is>
      </c>
      <c r="F101" s="11" t="n">
        <v>20</v>
      </c>
      <c r="G101" s="12" t="n">
        <v>100</v>
      </c>
      <c r="H101" s="12" t="n">
        <v>50</v>
      </c>
      <c r="I101" s="12">
        <f>((G101+6)*(H101+3))/1000000</f>
        <v/>
      </c>
      <c r="J101" s="12" t="n">
        <v>3.14</v>
      </c>
      <c r="K101" s="12" t="n">
        <v>0.34</v>
      </c>
      <c r="L101" s="12" t="n">
        <v>500</v>
      </c>
      <c r="M101" s="53">
        <f>(I101*J101*L101)+K101</f>
        <v/>
      </c>
      <c r="N101" s="60" t="n">
        <v>9.550000000000001</v>
      </c>
      <c r="O101" s="60">
        <f>N101/M101</f>
        <v/>
      </c>
      <c r="P101" s="55">
        <f>F101*N101</f>
        <v/>
      </c>
      <c r="Q101" s="29" t="n">
        <v>319.8</v>
      </c>
      <c r="R101" s="56" t="n">
        <v>15</v>
      </c>
      <c r="S101" s="57">
        <f>Q101*0.0919</f>
        <v/>
      </c>
      <c r="T101" s="58">
        <f>Q101-((M101*F101)+R101+S101)</f>
        <v/>
      </c>
      <c r="U101" s="57">
        <f>Q101-P101-R101-S101</f>
        <v/>
      </c>
      <c r="V101" s="21">
        <f>U101/P101</f>
        <v/>
      </c>
      <c r="W101" s="59">
        <f>T101-U101</f>
        <v/>
      </c>
    </row>
    <row r="102">
      <c r="A102" s="8" t="n">
        <v>1199</v>
      </c>
      <c r="B102" s="9" t="n"/>
      <c r="C102" s="10" t="inlineStr">
        <is>
          <t>DISTRIBEM</t>
        </is>
      </c>
      <c r="D102" s="10" t="inlineStr">
        <is>
          <t>Etiqueta Colorida</t>
        </is>
      </c>
      <c r="E102" s="10" t="inlineStr">
        <is>
          <t>rot.COUCHE10X5VERDE</t>
        </is>
      </c>
      <c r="F102" s="11" t="n">
        <v>20</v>
      </c>
      <c r="G102" s="12" t="n">
        <v>100</v>
      </c>
      <c r="H102" s="12" t="n">
        <v>50</v>
      </c>
      <c r="I102" s="12">
        <f>((G102+6)*(H102+3))/1000000</f>
        <v/>
      </c>
      <c r="J102" s="12" t="n">
        <v>3.14</v>
      </c>
      <c r="K102" s="12" t="n">
        <v>0.34</v>
      </c>
      <c r="L102" s="12" t="n">
        <v>500</v>
      </c>
      <c r="M102" s="53">
        <f>(I102*J102*L102)+K102</f>
        <v/>
      </c>
      <c r="N102" s="60" t="n">
        <v>9.550000000000001</v>
      </c>
      <c r="O102" s="60">
        <f>N102/M102</f>
        <v/>
      </c>
      <c r="P102" s="55">
        <f>F102*N102</f>
        <v/>
      </c>
      <c r="Q102" s="29" t="n">
        <v>319.8</v>
      </c>
      <c r="R102" s="56" t="n">
        <v>15</v>
      </c>
      <c r="S102" s="57">
        <f>Q102*0.0919</f>
        <v/>
      </c>
      <c r="T102" s="58">
        <f>Q102-((M102*F102)+R102+S102)</f>
        <v/>
      </c>
      <c r="U102" s="57">
        <f>Q102-P102-R102-S102</f>
        <v/>
      </c>
      <c r="V102" s="21">
        <f>U102/P102</f>
        <v/>
      </c>
      <c r="W102" s="59">
        <f>T102-U102</f>
        <v/>
      </c>
    </row>
    <row r="103">
      <c r="A103" s="23" t="n">
        <v>3643</v>
      </c>
      <c r="B103" s="9" t="n">
        <v>46265</v>
      </c>
      <c r="C103" s="10" t="inlineStr">
        <is>
          <t>NUTRISANTOS</t>
        </is>
      </c>
      <c r="D103" s="10" t="inlineStr">
        <is>
          <t>Etiqueta</t>
        </is>
      </c>
      <c r="E103" s="10" t="inlineStr">
        <is>
          <t>NUT210100A</t>
        </is>
      </c>
      <c r="F103" s="11" t="n">
        <v>9</v>
      </c>
      <c r="G103" s="12" t="n">
        <v>210</v>
      </c>
      <c r="H103" s="12" t="n">
        <v>100</v>
      </c>
      <c r="I103" s="12">
        <f>((G103+6)*(H103+3))/1000000</f>
        <v/>
      </c>
      <c r="J103" s="12" t="n">
        <v>4.45</v>
      </c>
      <c r="K103" s="12" t="n">
        <v>1.32</v>
      </c>
      <c r="L103" s="12" t="n">
        <v>1000</v>
      </c>
      <c r="M103" s="53">
        <f>(I103*J103*L103)+K103</f>
        <v/>
      </c>
      <c r="N103" s="67" t="n">
        <v>101.44</v>
      </c>
      <c r="O103" s="15">
        <f>N103/M103</f>
        <v/>
      </c>
      <c r="P103" s="55">
        <f>F103*N103</f>
        <v/>
      </c>
      <c r="Q103" s="17" t="n">
        <v>2430</v>
      </c>
      <c r="R103" s="56" t="n">
        <v>0</v>
      </c>
      <c r="S103" s="57">
        <f>Q103*0.0919</f>
        <v/>
      </c>
      <c r="T103" s="58">
        <f>Q103-((M103*F103)+R103+S103)</f>
        <v/>
      </c>
      <c r="U103" s="57">
        <f>Q103-P103-R103-S103</f>
        <v/>
      </c>
      <c r="V103" s="21">
        <f>U103/P103</f>
        <v/>
      </c>
      <c r="W103" s="59">
        <f>T103-U103</f>
        <v/>
      </c>
    </row>
    <row r="104">
      <c r="A104" s="23" t="n">
        <v>3638</v>
      </c>
      <c r="B104" s="9" t="n">
        <v>46262</v>
      </c>
      <c r="C104" s="10" t="inlineStr">
        <is>
          <t>M2000</t>
        </is>
      </c>
      <c r="D104" s="10" t="inlineStr">
        <is>
          <t>Etiqueta Colorida</t>
        </is>
      </c>
      <c r="E104" s="10" t="inlineStr">
        <is>
          <t>ETCOUAZUL100x100</t>
        </is>
      </c>
      <c r="F104" s="11" t="n">
        <v>15</v>
      </c>
      <c r="G104" s="12" t="n">
        <v>100</v>
      </c>
      <c r="H104" s="12" t="n">
        <v>100</v>
      </c>
      <c r="I104" s="12">
        <f>((G104+6)*(H104+3))/1000000</f>
        <v/>
      </c>
      <c r="J104" s="12" t="n">
        <v>3.26</v>
      </c>
      <c r="K104" s="12" t="n">
        <v>1.32</v>
      </c>
      <c r="L104" s="12" t="n">
        <v>1000</v>
      </c>
      <c r="M104" s="53">
        <f>(I104*J104*L104)+K104</f>
        <v/>
      </c>
      <c r="N104" s="60" t="n">
        <v>37.81</v>
      </c>
      <c r="O104" s="15">
        <f>N104/M104</f>
        <v/>
      </c>
      <c r="P104" s="55">
        <f>F104*N104</f>
        <v/>
      </c>
      <c r="Q104" s="17" t="n">
        <v>819</v>
      </c>
      <c r="R104" s="56" t="n">
        <v>20</v>
      </c>
      <c r="S104" s="57">
        <f>Q104*0.0919</f>
        <v/>
      </c>
      <c r="T104" s="58">
        <f>Q104-((M104*F104)+R104+S104)</f>
        <v/>
      </c>
      <c r="U104" s="57">
        <f>Q104-P104-R104-S104</f>
        <v/>
      </c>
      <c r="V104" s="21">
        <f>U104/P104</f>
        <v/>
      </c>
      <c r="W104" s="59">
        <f>T104-U104</f>
        <v/>
      </c>
    </row>
    <row r="105">
      <c r="A105" s="23" t="n">
        <v>3638</v>
      </c>
      <c r="B105" s="9" t="n"/>
      <c r="C105" s="10" t="inlineStr">
        <is>
          <t>M2000</t>
        </is>
      </c>
      <c r="D105" s="10" t="inlineStr">
        <is>
          <t>Etiqueta Colorida</t>
        </is>
      </c>
      <c r="E105" s="10" t="inlineStr">
        <is>
          <t>ETCOULARANJA100x100</t>
        </is>
      </c>
      <c r="F105" s="11" t="n">
        <v>15</v>
      </c>
      <c r="G105" s="12" t="n">
        <v>100</v>
      </c>
      <c r="H105" s="12" t="n">
        <v>100</v>
      </c>
      <c r="I105" s="12">
        <f>((G105+6)*(H105+3))/1000000</f>
        <v/>
      </c>
      <c r="J105" s="12" t="n">
        <v>3.26</v>
      </c>
      <c r="K105" s="12" t="n">
        <v>1.32</v>
      </c>
      <c r="L105" s="12" t="n">
        <v>1000</v>
      </c>
      <c r="M105" s="53">
        <f>(I105*J105*L105)+K105</f>
        <v/>
      </c>
      <c r="N105" s="60" t="n">
        <v>37.81</v>
      </c>
      <c r="O105" s="15">
        <f>N105/M105</f>
        <v/>
      </c>
      <c r="P105" s="55">
        <f>F105*N105</f>
        <v/>
      </c>
      <c r="Q105" s="17" t="n">
        <v>819</v>
      </c>
      <c r="R105" s="56" t="n">
        <v>20</v>
      </c>
      <c r="S105" s="57">
        <f>Q105*0.0919</f>
        <v/>
      </c>
      <c r="T105" s="58">
        <f>Q105-((M105*F105)+R105+S105)</f>
        <v/>
      </c>
      <c r="U105" s="57">
        <f>Q105-P105-R105-S105</f>
        <v/>
      </c>
      <c r="V105" s="21">
        <f>U105/P105</f>
        <v/>
      </c>
      <c r="W105" s="59">
        <f>T105-U105</f>
        <v/>
      </c>
    </row>
    <row r="106">
      <c r="A106" s="23" t="n">
        <v>3603</v>
      </c>
      <c r="B106" s="9" t="n"/>
      <c r="C106" s="10" t="inlineStr">
        <is>
          <t>LABICON</t>
        </is>
      </c>
      <c r="D106" s="10" t="inlineStr">
        <is>
          <t>Etiqueta Colorida</t>
        </is>
      </c>
      <c r="E106" s="10" t="inlineStr">
        <is>
          <t>BOPP5030LARANJA</t>
        </is>
      </c>
      <c r="F106" s="11" t="n">
        <v>20</v>
      </c>
      <c r="G106" s="12" t="n">
        <v>50</v>
      </c>
      <c r="H106" s="12" t="n">
        <v>30</v>
      </c>
      <c r="I106" s="12">
        <f>((G106+6)*(H106+3))/1000000</f>
        <v/>
      </c>
      <c r="J106" s="12" t="n">
        <v>4.17</v>
      </c>
      <c r="K106" s="12" t="n">
        <v>0.24</v>
      </c>
      <c r="L106" s="12" t="n">
        <v>1200</v>
      </c>
      <c r="M106" s="53">
        <f>(I106*J106*L106)+K106</f>
        <v/>
      </c>
      <c r="N106" s="60" t="n">
        <v>10.18</v>
      </c>
      <c r="O106" s="15">
        <f>N106/M106</f>
        <v/>
      </c>
      <c r="P106" s="65">
        <f>F106*N106</f>
        <v/>
      </c>
      <c r="Q106" s="31" t="n">
        <v>391.2</v>
      </c>
      <c r="R106" s="56" t="n">
        <v>10</v>
      </c>
      <c r="S106" s="57">
        <f>Q106*0.0919</f>
        <v/>
      </c>
      <c r="T106" s="58">
        <f>Q106-((M106*F106)+R106+S106)</f>
        <v/>
      </c>
      <c r="U106" s="57">
        <f>Q106-P106-R106-S106</f>
        <v/>
      </c>
      <c r="V106" s="21">
        <f>U106/P106</f>
        <v/>
      </c>
      <c r="W106" s="59">
        <f>T106-U106</f>
        <v/>
      </c>
    </row>
    <row r="107">
      <c r="A107" s="8" t="n">
        <v>1179</v>
      </c>
      <c r="B107" s="9" t="n">
        <v>46247</v>
      </c>
      <c r="C107" s="10" t="inlineStr">
        <is>
          <t>AUTOLOG</t>
        </is>
      </c>
      <c r="D107" s="10" t="inlineStr">
        <is>
          <t>Etiqueta Colorida</t>
        </is>
      </c>
      <c r="E107" s="10" t="inlineStr">
        <is>
          <t>ETAZUL100100AUT</t>
        </is>
      </c>
      <c r="F107" s="11" t="n">
        <v>60</v>
      </c>
      <c r="G107" s="12" t="n">
        <v>100</v>
      </c>
      <c r="H107" s="12" t="n">
        <v>100</v>
      </c>
      <c r="I107" s="12">
        <f>((G107+6)*(H107+3))/1000000</f>
        <v/>
      </c>
      <c r="J107" s="12" t="n">
        <v>3.26</v>
      </c>
      <c r="K107" s="12" t="n">
        <v>0.34</v>
      </c>
      <c r="L107" s="12" t="n">
        <v>340</v>
      </c>
      <c r="M107" s="53">
        <f>(I107*J107*L107)+K107</f>
        <v/>
      </c>
      <c r="N107" s="60" t="n">
        <v>12.69</v>
      </c>
      <c r="O107" s="15">
        <f>N107/M107</f>
        <v/>
      </c>
      <c r="P107" s="55">
        <f>F107*N107</f>
        <v/>
      </c>
      <c r="Q107" s="17" t="n">
        <v>1276.8</v>
      </c>
      <c r="R107" s="56" t="n">
        <v>0</v>
      </c>
      <c r="S107" s="57">
        <f>Q107*0.0919</f>
        <v/>
      </c>
      <c r="T107" s="58">
        <f>Q107-((M107*F107)+R107+S107)</f>
        <v/>
      </c>
      <c r="U107" s="57">
        <f>Q107-P107-R107-S107</f>
        <v/>
      </c>
      <c r="V107" s="21">
        <f>U107/P107</f>
        <v/>
      </c>
      <c r="W107" s="59">
        <f>T107-U107</f>
        <v/>
      </c>
    </row>
    <row r="108">
      <c r="A108" s="8" t="n">
        <v>1179</v>
      </c>
      <c r="B108" s="9" t="n"/>
      <c r="C108" s="10" t="inlineStr">
        <is>
          <t>AUTOLOG</t>
        </is>
      </c>
      <c r="D108" s="10" t="inlineStr">
        <is>
          <t>Etiqueta Colorida</t>
        </is>
      </c>
      <c r="E108" s="10" t="inlineStr">
        <is>
          <t>ETVERDE100100AUT</t>
        </is>
      </c>
      <c r="F108" s="11" t="n">
        <v>60</v>
      </c>
      <c r="G108" s="12" t="n">
        <v>100</v>
      </c>
      <c r="H108" s="12" t="n">
        <v>100</v>
      </c>
      <c r="I108" s="12">
        <f>((G108+6)*(H108+3))/1000000</f>
        <v/>
      </c>
      <c r="J108" s="12" t="n">
        <v>3.26</v>
      </c>
      <c r="K108" s="12" t="n">
        <v>0.34</v>
      </c>
      <c r="L108" s="12" t="n">
        <v>340</v>
      </c>
      <c r="M108" s="53">
        <f>(I108*J108*L108)+K108</f>
        <v/>
      </c>
      <c r="N108" s="60" t="n">
        <v>12.69</v>
      </c>
      <c r="O108" s="15">
        <f>N108/M108</f>
        <v/>
      </c>
      <c r="P108" s="55">
        <f>F108*N108</f>
        <v/>
      </c>
      <c r="Q108" s="17" t="n">
        <v>1276.8</v>
      </c>
      <c r="R108" s="56" t="n">
        <v>0</v>
      </c>
      <c r="S108" s="57">
        <f>Q108*0.0919</f>
        <v/>
      </c>
      <c r="T108" s="58">
        <f>Q108-((M108*F108)+R108+S108)</f>
        <v/>
      </c>
      <c r="U108" s="57">
        <f>Q108-P108-R108-S108</f>
        <v/>
      </c>
      <c r="V108" s="21">
        <f>U108/P108</f>
        <v/>
      </c>
      <c r="W108" s="59">
        <f>T108-U108</f>
        <v/>
      </c>
    </row>
    <row r="109">
      <c r="A109" s="8" t="n">
        <v>1179</v>
      </c>
      <c r="B109" s="9" t="n"/>
      <c r="C109" s="10" t="inlineStr">
        <is>
          <t>AUTOLOG</t>
        </is>
      </c>
      <c r="D109" s="10" t="inlineStr">
        <is>
          <t>Etiqueta Colorida</t>
        </is>
      </c>
      <c r="E109" s="10" t="inlineStr">
        <is>
          <t>ETAMARELA100100AUT</t>
        </is>
      </c>
      <c r="F109" s="11" t="n">
        <v>60</v>
      </c>
      <c r="G109" s="12" t="n">
        <v>100</v>
      </c>
      <c r="H109" s="12" t="n">
        <v>100</v>
      </c>
      <c r="I109" s="12">
        <f>((G109+6)*(H109+3))/1000000</f>
        <v/>
      </c>
      <c r="J109" s="12" t="n">
        <v>3.26</v>
      </c>
      <c r="K109" s="12" t="n">
        <v>0.34</v>
      </c>
      <c r="L109" s="12" t="n">
        <v>340</v>
      </c>
      <c r="M109" s="53">
        <f>(I109*J109*L109)+K109</f>
        <v/>
      </c>
      <c r="N109" s="60" t="n">
        <v>12.69</v>
      </c>
      <c r="O109" s="15">
        <f>N109/M109</f>
        <v/>
      </c>
      <c r="P109" s="55">
        <f>F109*N109</f>
        <v/>
      </c>
      <c r="Q109" s="17" t="n">
        <v>1276.8</v>
      </c>
      <c r="R109" s="56" t="n">
        <v>0</v>
      </c>
      <c r="S109" s="57">
        <f>Q109*0.0919</f>
        <v/>
      </c>
      <c r="T109" s="58">
        <f>Q109-((M109*F109)+R109+S109)</f>
        <v/>
      </c>
      <c r="U109" s="57">
        <f>Q109-P109-R109-S109</f>
        <v/>
      </c>
      <c r="V109" s="21">
        <f>U109/P109</f>
        <v/>
      </c>
      <c r="W109" s="59">
        <f>T109-U109</f>
        <v/>
      </c>
    </row>
    <row r="110">
      <c r="A110" s="8" t="n">
        <v>1168</v>
      </c>
      <c r="B110" s="9" t="n">
        <v>46238</v>
      </c>
      <c r="C110" s="10" t="inlineStr">
        <is>
          <t>MINASA</t>
        </is>
      </c>
      <c r="D110" s="10" t="inlineStr">
        <is>
          <t>Etiqueta</t>
        </is>
      </c>
      <c r="E110" s="10" t="inlineStr">
        <is>
          <t>ECOU100x75T1</t>
        </is>
      </c>
      <c r="F110" s="11" t="n">
        <v>80</v>
      </c>
      <c r="G110" s="12" t="n">
        <v>100</v>
      </c>
      <c r="H110" s="12" t="n">
        <v>75</v>
      </c>
      <c r="I110" s="12">
        <f>((G110+6)*(H110+3))/1000000</f>
        <v/>
      </c>
      <c r="J110" s="12" t="n">
        <v>3.26</v>
      </c>
      <c r="K110" s="12" t="n">
        <v>0.34</v>
      </c>
      <c r="L110" s="12" t="n">
        <v>1000</v>
      </c>
      <c r="M110" s="53">
        <f>(I110*J110*L110)+K110</f>
        <v/>
      </c>
      <c r="N110" s="60" t="n">
        <v>27.53</v>
      </c>
      <c r="O110" s="15">
        <f>N110/M110</f>
        <v/>
      </c>
      <c r="P110" s="55">
        <f>F110*N110</f>
        <v/>
      </c>
      <c r="Q110" s="17" t="n">
        <v>3154.6</v>
      </c>
      <c r="R110" s="56" t="n">
        <v>191</v>
      </c>
      <c r="S110" s="57">
        <f>Q110*0.0919</f>
        <v/>
      </c>
      <c r="T110" s="58">
        <f>Q110-((M110*F110)+R110+S110)</f>
        <v/>
      </c>
      <c r="U110" s="57">
        <f>Q110-P110-R110-S110</f>
        <v/>
      </c>
      <c r="V110" s="21">
        <f>U110/P110</f>
        <v/>
      </c>
      <c r="W110" s="59">
        <f>T110-U110</f>
        <v/>
      </c>
    </row>
    <row r="111">
      <c r="A111" s="8" t="n">
        <v>1204</v>
      </c>
      <c r="B111" s="9" t="n">
        <v>46265</v>
      </c>
      <c r="C111" s="10" t="inlineStr">
        <is>
          <t>FIGUEIREDO SM</t>
        </is>
      </c>
      <c r="D111" s="10" t="inlineStr">
        <is>
          <t>Etiqueta</t>
        </is>
      </c>
      <c r="E111" s="10" t="inlineStr">
        <is>
          <t>EB100X80X39</t>
        </is>
      </c>
      <c r="F111" s="11" t="n">
        <v>40</v>
      </c>
      <c r="G111" s="12" t="n">
        <v>100</v>
      </c>
      <c r="H111" s="12" t="n">
        <v>80</v>
      </c>
      <c r="I111" s="12">
        <f>((G111+6)*(H111+3))/1000000</f>
        <v/>
      </c>
      <c r="J111" s="12" t="n">
        <v>4.17</v>
      </c>
      <c r="K111" s="12" t="n">
        <v>0.34</v>
      </c>
      <c r="L111" s="12" t="n">
        <v>470</v>
      </c>
      <c r="M111" s="53">
        <f>(I111*J111*L111)+K111</f>
        <v/>
      </c>
      <c r="N111" s="60" t="n">
        <v>18.11</v>
      </c>
      <c r="O111" s="60">
        <f>N111/M111</f>
        <v/>
      </c>
      <c r="P111" s="55">
        <f>F111*N111</f>
        <v/>
      </c>
      <c r="Q111" s="29" t="n">
        <v>1298.4</v>
      </c>
      <c r="R111" s="66" t="n"/>
      <c r="S111" s="57">
        <f>Q111*0.0919</f>
        <v/>
      </c>
      <c r="T111" s="58">
        <f>Q111-((M111*F111)+R111+S111)</f>
        <v/>
      </c>
      <c r="U111" s="57">
        <f>Q111-P111-R111-S111</f>
        <v/>
      </c>
      <c r="V111" s="21">
        <f>U111/P111</f>
        <v/>
      </c>
      <c r="W111" s="59">
        <f>T111-U111</f>
        <v/>
      </c>
    </row>
    <row r="112">
      <c r="A112" s="8" t="n">
        <v>1179</v>
      </c>
      <c r="B112" s="9" t="n"/>
      <c r="C112" s="10" t="inlineStr">
        <is>
          <t>AUTOLOG</t>
        </is>
      </c>
      <c r="D112" s="10" t="inlineStr">
        <is>
          <t>Etiqueta Colorida</t>
        </is>
      </c>
      <c r="E112" s="10" t="inlineStr">
        <is>
          <t>ETVERMELHA100100AUT</t>
        </is>
      </c>
      <c r="F112" s="11" t="n">
        <v>90</v>
      </c>
      <c r="G112" s="12" t="n">
        <v>100</v>
      </c>
      <c r="H112" s="12" t="n">
        <v>100</v>
      </c>
      <c r="I112" s="12">
        <f>((G112+6)*(H112+3))/1000000</f>
        <v/>
      </c>
      <c r="J112" s="12" t="n">
        <v>3.26</v>
      </c>
      <c r="K112" s="12" t="n">
        <v>0.34</v>
      </c>
      <c r="L112" s="12" t="n">
        <v>340</v>
      </c>
      <c r="M112" s="53">
        <f>(I112*J112*L112)+K112</f>
        <v/>
      </c>
      <c r="N112" s="60" t="n">
        <v>12.69</v>
      </c>
      <c r="O112" s="15">
        <f>N112/M112</f>
        <v/>
      </c>
      <c r="P112" s="55">
        <f>F112*N112</f>
        <v/>
      </c>
      <c r="Q112" s="17" t="n">
        <v>1915.2</v>
      </c>
      <c r="R112" s="56" t="n">
        <v>0</v>
      </c>
      <c r="S112" s="57">
        <f>Q112*0.0919</f>
        <v/>
      </c>
      <c r="T112" s="58">
        <f>Q112-((M112*F112)+R112+S112)</f>
        <v/>
      </c>
      <c r="U112" s="57">
        <f>Q112-P112-R112-S112</f>
        <v/>
      </c>
      <c r="V112" s="21">
        <f>U112/P112</f>
        <v/>
      </c>
      <c r="W112" s="59">
        <f>T112-U112</f>
        <v/>
      </c>
    </row>
    <row r="113">
      <c r="A113" s="23" t="n">
        <v>3643</v>
      </c>
      <c r="B113" s="9" t="n"/>
      <c r="C113" s="10" t="inlineStr">
        <is>
          <t>NUTRISANTOS</t>
        </is>
      </c>
      <c r="D113" s="10" t="inlineStr">
        <is>
          <t>Etiqueta</t>
        </is>
      </c>
      <c r="E113" s="33" t="inlineStr">
        <is>
          <t>NUT210100F</t>
        </is>
      </c>
      <c r="F113" s="11" t="n">
        <v>18</v>
      </c>
      <c r="G113" s="12" t="n">
        <v>210</v>
      </c>
      <c r="H113" s="12" t="n">
        <v>100</v>
      </c>
      <c r="I113" s="12">
        <f>((G113+6)*(H113+3))/1000000</f>
        <v/>
      </c>
      <c r="J113" s="12" t="n">
        <v>4.45</v>
      </c>
      <c r="K113" s="12" t="n">
        <v>1.32</v>
      </c>
      <c r="L113" s="12" t="n">
        <v>1000</v>
      </c>
      <c r="M113" s="53">
        <f>(I113*J113*L113)+K113</f>
        <v/>
      </c>
      <c r="N113" s="25" t="n">
        <v>101.71</v>
      </c>
      <c r="O113" s="15">
        <f>N113/M113</f>
        <v/>
      </c>
      <c r="P113" s="55">
        <f>F113*N113</f>
        <v/>
      </c>
      <c r="Q113" s="29" t="n">
        <v>4860</v>
      </c>
      <c r="R113" s="56" t="n">
        <v>0</v>
      </c>
      <c r="S113" s="57">
        <f>Q113*0.09</f>
        <v/>
      </c>
      <c r="T113" s="58">
        <f>Q113-((M113*F113)+R113+S113)</f>
        <v/>
      </c>
      <c r="U113" s="57">
        <f>Q113-P113-R113-S113</f>
        <v/>
      </c>
      <c r="V113" s="21">
        <f>U113/P113</f>
        <v/>
      </c>
      <c r="W113" s="59">
        <f>T113-U113</f>
        <v/>
      </c>
    </row>
    <row r="114">
      <c r="A114" s="8" t="n">
        <v>1186</v>
      </c>
      <c r="B114" s="9" t="n">
        <v>46252</v>
      </c>
      <c r="C114" s="10" t="inlineStr">
        <is>
          <t>DROGA CLARA</t>
        </is>
      </c>
      <c r="D114" s="10" t="inlineStr">
        <is>
          <t>Etiqueta</t>
        </is>
      </c>
      <c r="E114" s="10" t="inlineStr">
        <is>
          <t>ETCOU10080T3</t>
        </is>
      </c>
      <c r="F114" s="11" t="n">
        <v>80</v>
      </c>
      <c r="G114" s="12" t="n">
        <v>100</v>
      </c>
      <c r="H114" s="12" t="n">
        <v>80</v>
      </c>
      <c r="I114" s="12">
        <f>((G114+6)*(H114+3))/1000000</f>
        <v/>
      </c>
      <c r="J114" s="12" t="n">
        <v>3.26</v>
      </c>
      <c r="K114" s="12" t="n">
        <v>1.32</v>
      </c>
      <c r="L114" s="12" t="n">
        <v>1000</v>
      </c>
      <c r="M114" s="53">
        <f>(I114*J114*L114)+K114</f>
        <v/>
      </c>
      <c r="N114" s="60" t="n">
        <v>30.35</v>
      </c>
      <c r="O114" s="15">
        <f>N114/M114</f>
        <v/>
      </c>
      <c r="P114" s="55">
        <f>F114*N114</f>
        <v/>
      </c>
      <c r="Q114" s="17" t="n">
        <v>3080</v>
      </c>
      <c r="R114" s="56" t="n">
        <v>60</v>
      </c>
      <c r="S114" s="57">
        <f>Q114*0.0919</f>
        <v/>
      </c>
      <c r="T114" s="58">
        <f>Q114-((M114*F114)+R114+S114)</f>
        <v/>
      </c>
      <c r="U114" s="57">
        <f>Q114-P114-R114-S114</f>
        <v/>
      </c>
      <c r="V114" s="21">
        <f>U114/P114</f>
        <v/>
      </c>
      <c r="W114" s="59">
        <f>T114-U114</f>
        <v/>
      </c>
    </row>
    <row r="115">
      <c r="A115" s="23" t="n">
        <v>3615</v>
      </c>
      <c r="B115" s="9" t="n">
        <v>46246</v>
      </c>
      <c r="C115" s="10" t="inlineStr">
        <is>
          <t>APOLO</t>
        </is>
      </c>
      <c r="D115" s="10" t="inlineStr">
        <is>
          <t>Etiqueta</t>
        </is>
      </c>
      <c r="E115" s="10" t="inlineStr">
        <is>
          <t xml:space="preserve">ETBOPP100901000	</t>
        </is>
      </c>
      <c r="F115" s="11" t="n">
        <v>60</v>
      </c>
      <c r="G115" s="12" t="n">
        <v>100</v>
      </c>
      <c r="H115" s="12" t="n">
        <v>90</v>
      </c>
      <c r="I115" s="12">
        <f>((G115+6)*(H115+3))/1000000</f>
        <v/>
      </c>
      <c r="J115" s="12" t="n">
        <v>4.17</v>
      </c>
      <c r="K115" s="12" t="n">
        <v>1.32</v>
      </c>
      <c r="L115" s="12" t="n">
        <v>1000</v>
      </c>
      <c r="M115" s="53">
        <f>(I115*J115*L115)+K115</f>
        <v/>
      </c>
      <c r="N115" s="60" t="n">
        <v>42.93</v>
      </c>
      <c r="O115" s="15">
        <f>N115/M115</f>
        <v/>
      </c>
      <c r="P115" s="55">
        <f>F115*N115</f>
        <v/>
      </c>
      <c r="Q115" s="17" t="n">
        <v>4993.2</v>
      </c>
      <c r="R115" s="56" t="n">
        <v>220</v>
      </c>
      <c r="S115" s="57">
        <f>Q115*0.0919</f>
        <v/>
      </c>
      <c r="T115" s="58">
        <f>Q115-((M115*F115)+R115+S115)</f>
        <v/>
      </c>
      <c r="U115" s="57">
        <f>Q115-P115-R115-S115</f>
        <v/>
      </c>
      <c r="V115" s="21">
        <f>U115/P115</f>
        <v/>
      </c>
      <c r="W115" s="59">
        <f>T115-U115</f>
        <v/>
      </c>
    </row>
    <row r="116">
      <c r="A116" s="8" t="n">
        <v>1197</v>
      </c>
      <c r="B116" s="9" t="n"/>
      <c r="C116" s="10" t="inlineStr">
        <is>
          <t>FRIVASA</t>
        </is>
      </c>
      <c r="D116" s="10" t="inlineStr">
        <is>
          <t>Etiqueta</t>
        </is>
      </c>
      <c r="E116" s="10" t="inlineStr">
        <is>
          <t>E50X235BOPP</t>
        </is>
      </c>
      <c r="F116" s="11" t="n">
        <v>24</v>
      </c>
      <c r="G116" s="12" t="n">
        <v>50</v>
      </c>
      <c r="H116" s="12" t="n">
        <v>235</v>
      </c>
      <c r="I116" s="12">
        <f>((G116+6)*(H116+3))/1000000</f>
        <v/>
      </c>
      <c r="J116" s="12" t="n">
        <v>4.45</v>
      </c>
      <c r="K116" s="12" t="n">
        <v>0.24</v>
      </c>
      <c r="L116" s="12" t="n">
        <v>500</v>
      </c>
      <c r="M116" s="53">
        <f>(I116*J116*L116)+K116</f>
        <v/>
      </c>
      <c r="N116" s="60" t="n">
        <v>31.41</v>
      </c>
      <c r="O116" s="15">
        <f>N116/M116</f>
        <v/>
      </c>
      <c r="P116" s="55">
        <f>F116*N116</f>
        <v/>
      </c>
      <c r="Q116" s="29" t="n">
        <v>1053.6</v>
      </c>
      <c r="R116" s="56" t="n">
        <v>0</v>
      </c>
      <c r="S116" s="57">
        <f>Q116*0.0919</f>
        <v/>
      </c>
      <c r="T116" s="58">
        <f>Q116-((M116*F116)+R116+S116)</f>
        <v/>
      </c>
      <c r="U116" s="57">
        <f>Q116-P116-R116-S116</f>
        <v/>
      </c>
      <c r="V116" s="21">
        <f>U116/P116</f>
        <v/>
      </c>
      <c r="W116" s="59">
        <f>T116-U116</f>
        <v/>
      </c>
    </row>
    <row r="117">
      <c r="A117" s="23" t="n">
        <v>3610</v>
      </c>
      <c r="B117" s="9" t="n"/>
      <c r="C117" s="10" t="inlineStr">
        <is>
          <t>ALS BRASIL</t>
        </is>
      </c>
      <c r="D117" s="10" t="inlineStr">
        <is>
          <t>Etiqueta</t>
        </is>
      </c>
      <c r="E117" s="10" t="inlineStr">
        <is>
          <t>ETQALS51X51</t>
        </is>
      </c>
      <c r="F117" s="11" t="n">
        <v>50</v>
      </c>
      <c r="G117" s="12" t="n">
        <v>51</v>
      </c>
      <c r="H117" s="12" t="n">
        <v>51</v>
      </c>
      <c r="I117" s="12">
        <f>((G117+6)*(H117+3))/1000000</f>
        <v/>
      </c>
      <c r="J117" s="12" t="n">
        <v>3.26</v>
      </c>
      <c r="K117" s="12" t="n">
        <v>0.24</v>
      </c>
      <c r="L117" s="12" t="n">
        <v>4000</v>
      </c>
      <c r="M117" s="53">
        <f>(I117*J117*L117)+K117</f>
        <v/>
      </c>
      <c r="N117" s="60" t="n">
        <v>41.11</v>
      </c>
      <c r="O117" s="15">
        <f>N117/M117</f>
        <v/>
      </c>
      <c r="P117" s="55">
        <f>F117*N117</f>
        <v/>
      </c>
      <c r="Q117" s="17" t="n">
        <v>2964</v>
      </c>
      <c r="R117" s="56" t="n">
        <v>60</v>
      </c>
      <c r="S117" s="57">
        <f>Q117*0.0919</f>
        <v/>
      </c>
      <c r="T117" s="58">
        <f>Q117-((M117*F117)+R117+S117)</f>
        <v/>
      </c>
      <c r="U117" s="57">
        <f>Q117-P117-R117-S117</f>
        <v/>
      </c>
      <c r="V117" s="21">
        <f>U117/P117</f>
        <v/>
      </c>
      <c r="W117" s="59">
        <f>T117-U117</f>
        <v/>
      </c>
    </row>
    <row r="118">
      <c r="A118" s="23" t="n">
        <v>3612</v>
      </c>
      <c r="B118" s="9" t="n">
        <v>46245</v>
      </c>
      <c r="C118" s="10" t="inlineStr">
        <is>
          <t>FRANCAP</t>
        </is>
      </c>
      <c r="D118" s="10" t="inlineStr">
        <is>
          <t>Etiqueta</t>
        </is>
      </c>
      <c r="E118" s="10" t="inlineStr">
        <is>
          <t>BOPP100X40</t>
        </is>
      </c>
      <c r="F118" s="11" t="n">
        <v>40</v>
      </c>
      <c r="G118" s="12" t="n">
        <v>100</v>
      </c>
      <c r="H118" s="12" t="n">
        <v>40</v>
      </c>
      <c r="I118" s="12">
        <f>((G118+6)*(H118+3))/1000000</f>
        <v/>
      </c>
      <c r="J118" s="12" t="n">
        <v>4.45</v>
      </c>
      <c r="K118" s="12" t="n">
        <v>0.34</v>
      </c>
      <c r="L118" s="12" t="n">
        <v>1000</v>
      </c>
      <c r="M118" s="53">
        <f>(I118*J118*L118)+K118</f>
        <v/>
      </c>
      <c r="N118" s="60" t="n">
        <v>21.56</v>
      </c>
      <c r="O118" s="15">
        <f>N118/M118</f>
        <v/>
      </c>
      <c r="P118" s="55">
        <f>F118*N118</f>
        <v/>
      </c>
      <c r="Q118" s="17" t="n">
        <v>1319.6</v>
      </c>
      <c r="R118" s="56" t="n">
        <v>70</v>
      </c>
      <c r="S118" s="57">
        <f>Q118*0.0919</f>
        <v/>
      </c>
      <c r="T118" s="58">
        <f>Q118-((M118*F118)+R118+S118)</f>
        <v/>
      </c>
      <c r="U118" s="57">
        <f>Q118-P118-R118-S118</f>
        <v/>
      </c>
      <c r="V118" s="21">
        <f>U118/P118</f>
        <v/>
      </c>
      <c r="W118" s="59">
        <f>T118-U118</f>
        <v/>
      </c>
    </row>
    <row r="119">
      <c r="A119" s="23" t="n">
        <v>3632</v>
      </c>
      <c r="B119" s="9" t="n">
        <v>46253</v>
      </c>
      <c r="C119" s="10" t="inlineStr">
        <is>
          <t>ALS BRASIL MT</t>
        </is>
      </c>
      <c r="D119" s="10" t="inlineStr">
        <is>
          <t>Etiqueta</t>
        </is>
      </c>
      <c r="E119" s="10" t="inlineStr">
        <is>
          <t>ETQALS100X75</t>
        </is>
      </c>
      <c r="F119" s="11" t="n">
        <v>60</v>
      </c>
      <c r="G119" s="12" t="n">
        <v>100</v>
      </c>
      <c r="H119" s="12" t="n">
        <v>75</v>
      </c>
      <c r="I119" s="12">
        <f>((G119+6)*(H119+3))/1000000</f>
        <v/>
      </c>
      <c r="J119" s="12" t="n">
        <v>3.26</v>
      </c>
      <c r="K119" s="12" t="n">
        <v>0.46</v>
      </c>
      <c r="L119" s="12" t="n">
        <v>2280</v>
      </c>
      <c r="M119" s="53">
        <f>(I119*J119*L119)+K119</f>
        <v/>
      </c>
      <c r="N119" s="60" t="n">
        <v>62.58</v>
      </c>
      <c r="O119" s="15">
        <f>N119/M119</f>
        <v/>
      </c>
      <c r="P119" s="55">
        <f>F119*N119</f>
        <v/>
      </c>
      <c r="Q119" s="17" t="n">
        <v>5531.8</v>
      </c>
      <c r="R119" s="56" t="n">
        <v>329.39</v>
      </c>
      <c r="S119" s="57">
        <f>Q119*0.0919</f>
        <v/>
      </c>
      <c r="T119" s="58">
        <f>Q119-((M119*F119)+R119+S119)</f>
        <v/>
      </c>
      <c r="U119" s="57">
        <f>Q119-P119-R119-S119</f>
        <v/>
      </c>
      <c r="V119" s="21">
        <f>U119/P119</f>
        <v/>
      </c>
      <c r="W119" s="59">
        <f>T119-U119</f>
        <v/>
      </c>
    </row>
    <row r="120">
      <c r="A120" s="23" t="n">
        <v>3610</v>
      </c>
      <c r="B120" s="9" t="n">
        <v>46245</v>
      </c>
      <c r="C120" s="10" t="inlineStr">
        <is>
          <t>ALS BRASIL</t>
        </is>
      </c>
      <c r="D120" s="10" t="inlineStr">
        <is>
          <t>Etiqueta</t>
        </is>
      </c>
      <c r="E120" s="10" t="inlineStr">
        <is>
          <t>ETQALS100X75</t>
        </is>
      </c>
      <c r="F120" s="11" t="n">
        <v>50</v>
      </c>
      <c r="G120" s="12" t="n">
        <v>100</v>
      </c>
      <c r="H120" s="12" t="n">
        <v>75</v>
      </c>
      <c r="I120" s="12">
        <f>((G120+6)*(H120+3))/1000000</f>
        <v/>
      </c>
      <c r="J120" s="12" t="n">
        <v>3.26</v>
      </c>
      <c r="K120" s="12" t="n">
        <v>0.46</v>
      </c>
      <c r="L120" s="12" t="n">
        <v>2280</v>
      </c>
      <c r="M120" s="53">
        <f>(I120*J120*L120)+K120</f>
        <v/>
      </c>
      <c r="N120" s="60" t="n">
        <v>62.75</v>
      </c>
      <c r="O120" s="15">
        <f>N120/M120</f>
        <v/>
      </c>
      <c r="P120" s="55">
        <f>F120*N120</f>
        <v/>
      </c>
      <c r="Q120" s="17" t="n">
        <v>4401.5</v>
      </c>
      <c r="R120" s="56" t="n">
        <v>60</v>
      </c>
      <c r="S120" s="57">
        <f>Q120*0.0919</f>
        <v/>
      </c>
      <c r="T120" s="58">
        <f>Q120-((M120*F120)+R120+S120)</f>
        <v/>
      </c>
      <c r="U120" s="57">
        <f>Q120-P120-R120-S120</f>
        <v/>
      </c>
      <c r="V120" s="21">
        <f>U120/P120</f>
        <v/>
      </c>
      <c r="W120" s="59">
        <f>T120-U120</f>
        <v/>
      </c>
    </row>
    <row r="121">
      <c r="A121" s="23" t="n">
        <v>3640</v>
      </c>
      <c r="B121" s="9" t="n"/>
      <c r="C121" s="10" t="inlineStr">
        <is>
          <t>Labicon</t>
        </is>
      </c>
      <c r="D121" s="10" t="inlineStr">
        <is>
          <t>Etiqueta</t>
        </is>
      </c>
      <c r="E121" s="10" t="inlineStr">
        <is>
          <t>BOPP5030</t>
        </is>
      </c>
      <c r="F121" s="11" t="n">
        <v>100</v>
      </c>
      <c r="G121" s="12" t="n">
        <v>50</v>
      </c>
      <c r="H121" s="12" t="n">
        <v>30</v>
      </c>
      <c r="I121" s="12">
        <f>((G121+6)*(H121+3))/1000000</f>
        <v/>
      </c>
      <c r="J121" s="12" t="n">
        <v>4.17</v>
      </c>
      <c r="K121" s="12" t="n">
        <v>0.24</v>
      </c>
      <c r="L121" s="12" t="n">
        <v>1200</v>
      </c>
      <c r="M121" s="53">
        <f>(I121*J121*L121)+K121</f>
        <v/>
      </c>
      <c r="N121" s="60" t="n">
        <v>10.15</v>
      </c>
      <c r="O121" s="15">
        <f>N121/M121</f>
        <v/>
      </c>
      <c r="P121" s="55">
        <f>F121*N121</f>
        <v/>
      </c>
      <c r="Q121" s="17" t="n">
        <v>1956</v>
      </c>
      <c r="R121" s="56" t="n">
        <v>50</v>
      </c>
      <c r="S121" s="57">
        <f>Q121*0.0919</f>
        <v/>
      </c>
      <c r="T121" s="58">
        <f>Q121-((M121*F121)+R121+S121)</f>
        <v/>
      </c>
      <c r="U121" s="57">
        <f>Q121-P121-R121-S121</f>
        <v/>
      </c>
      <c r="V121" s="21">
        <f>U121/P121</f>
        <v/>
      </c>
      <c r="W121" s="59">
        <f>T121-U121</f>
        <v/>
      </c>
    </row>
    <row r="122">
      <c r="A122" s="23" t="n">
        <v>3640</v>
      </c>
      <c r="B122" s="9" t="n"/>
      <c r="C122" s="10" t="inlineStr">
        <is>
          <t>Labicon</t>
        </is>
      </c>
      <c r="D122" s="10" t="inlineStr">
        <is>
          <t>Etiqueta Colorida</t>
        </is>
      </c>
      <c r="E122" s="10" t="inlineStr">
        <is>
          <t>rot.BOPP50x30VERDE</t>
        </is>
      </c>
      <c r="F122" s="11" t="n">
        <v>104</v>
      </c>
      <c r="G122" s="12" t="n">
        <v>50</v>
      </c>
      <c r="H122" s="12" t="n">
        <v>30</v>
      </c>
      <c r="I122" s="12">
        <f>((G122+6)*(H122+3))/1000000</f>
        <v/>
      </c>
      <c r="J122" s="12" t="n">
        <v>4.17</v>
      </c>
      <c r="K122" s="12" t="n">
        <v>0.24</v>
      </c>
      <c r="L122" s="12" t="n">
        <v>1200</v>
      </c>
      <c r="M122" s="53">
        <f>(I122*J122*L122)+K122</f>
        <v/>
      </c>
      <c r="N122" s="60" t="n">
        <v>10.15</v>
      </c>
      <c r="O122" s="15">
        <f>N122/M122</f>
        <v/>
      </c>
      <c r="P122" s="55">
        <f>F122*N122</f>
        <v/>
      </c>
      <c r="Q122" s="17" t="n">
        <v>2740.4</v>
      </c>
      <c r="R122" s="56" t="n">
        <v>50</v>
      </c>
      <c r="S122" s="57">
        <f>Q122*0.0919</f>
        <v/>
      </c>
      <c r="T122" s="58">
        <f>Q122-((M122*F122)+R122+S122)</f>
        <v/>
      </c>
      <c r="U122" s="57">
        <f>Q122-P122-R122-S122</f>
        <v/>
      </c>
      <c r="V122" s="21">
        <f>U122/P122</f>
        <v/>
      </c>
      <c r="W122" s="59">
        <f>T122-U122</f>
        <v/>
      </c>
    </row>
    <row r="123">
      <c r="A123" s="23" t="n">
        <v>3603</v>
      </c>
      <c r="B123" s="9" t="n">
        <v>46240</v>
      </c>
      <c r="C123" s="10" t="inlineStr">
        <is>
          <t>LABICON</t>
        </is>
      </c>
      <c r="D123" s="10" t="inlineStr">
        <is>
          <t>Etiqueta</t>
        </is>
      </c>
      <c r="E123" s="10" t="inlineStr">
        <is>
          <t>BOPP5030</t>
        </is>
      </c>
      <c r="F123" s="11" t="n">
        <v>140</v>
      </c>
      <c r="G123" s="12" t="n">
        <v>50</v>
      </c>
      <c r="H123" s="12" t="n">
        <v>30</v>
      </c>
      <c r="I123" s="12">
        <f>((G123+6)*(H123+3))/1000000</f>
        <v/>
      </c>
      <c r="J123" s="12" t="n">
        <v>4.17</v>
      </c>
      <c r="K123" s="12" t="n">
        <v>0.24</v>
      </c>
      <c r="L123" s="12" t="n">
        <v>1200</v>
      </c>
      <c r="M123" s="53">
        <f>(I123*J123*L123)+K123</f>
        <v/>
      </c>
      <c r="N123" s="60" t="n">
        <v>10.04</v>
      </c>
      <c r="O123" s="15">
        <f>N123/M123</f>
        <v/>
      </c>
      <c r="P123" s="65">
        <f>F123*N123</f>
        <v/>
      </c>
      <c r="Q123" s="31" t="n">
        <v>2738.4</v>
      </c>
      <c r="R123" s="56" t="n">
        <v>100</v>
      </c>
      <c r="S123" s="57">
        <f>Q123*0.0919</f>
        <v/>
      </c>
      <c r="T123" s="58">
        <f>Q123-((M123*F123)+R123+S123)</f>
        <v/>
      </c>
      <c r="U123" s="57">
        <f>Q123-P123-R123-S123</f>
        <v/>
      </c>
      <c r="V123" s="21">
        <f>U123/P123</f>
        <v/>
      </c>
      <c r="W123" s="59">
        <f>T123-U123</f>
        <v/>
      </c>
    </row>
    <row r="124">
      <c r="A124" s="8" t="n">
        <v>1172</v>
      </c>
      <c r="B124" s="9" t="n">
        <v>46244</v>
      </c>
      <c r="C124" s="10" t="inlineStr">
        <is>
          <t>YANGZI</t>
        </is>
      </c>
      <c r="D124" s="10" t="inlineStr">
        <is>
          <t>Etiqueta Colorida</t>
        </is>
      </c>
      <c r="E124" s="10" t="inlineStr">
        <is>
          <t xml:space="preserve">rot.COUCHE100x80AMARELA	</t>
        </is>
      </c>
      <c r="F124" s="11" t="n">
        <v>200</v>
      </c>
      <c r="G124" s="12" t="n">
        <v>100</v>
      </c>
      <c r="H124" s="12" t="n">
        <v>80</v>
      </c>
      <c r="I124" s="12">
        <f>((G124+6)*(H124+3))/1000000</f>
        <v/>
      </c>
      <c r="J124" s="12" t="n">
        <v>3.26</v>
      </c>
      <c r="K124" s="12" t="n">
        <v>1.32</v>
      </c>
      <c r="L124" s="12" t="n">
        <v>1500</v>
      </c>
      <c r="M124" s="53">
        <f>(I124*J124*L124)+K124</f>
        <v/>
      </c>
      <c r="N124" s="60" t="n">
        <v>44.73</v>
      </c>
      <c r="O124" s="15">
        <f>N124/M124</f>
        <v/>
      </c>
      <c r="P124" s="55">
        <f>F124*N124</f>
        <v/>
      </c>
      <c r="Q124" s="17" t="n">
        <v>10980</v>
      </c>
      <c r="R124" s="56" t="n">
        <v>170</v>
      </c>
      <c r="S124" s="57">
        <f>Q124*0.0919</f>
        <v/>
      </c>
      <c r="T124" s="58">
        <f>Q124-((M124*F124)+R124+S124)</f>
        <v/>
      </c>
      <c r="U124" s="57">
        <f>Q124-P124-R124-S124</f>
        <v/>
      </c>
      <c r="V124" s="21">
        <f>U124/P124</f>
        <v/>
      </c>
      <c r="W124" s="59">
        <f>T124-U124</f>
        <v/>
      </c>
    </row>
    <row r="125">
      <c r="A125" s="8" t="n">
        <v>1197</v>
      </c>
      <c r="B125" s="9" t="n"/>
      <c r="C125" s="10" t="inlineStr">
        <is>
          <t>FRIVASA</t>
        </is>
      </c>
      <c r="D125" s="10" t="inlineStr">
        <is>
          <t>Etiqueta</t>
        </is>
      </c>
      <c r="E125" s="10" t="inlineStr">
        <is>
          <t>E50X200BOPP</t>
        </is>
      </c>
      <c r="F125" s="11" t="n">
        <v>48</v>
      </c>
      <c r="G125" s="12" t="n">
        <v>50</v>
      </c>
      <c r="H125" s="12" t="n">
        <v>200</v>
      </c>
      <c r="I125" s="12">
        <f>((G125+6)*(H125+3))/1000000</f>
        <v/>
      </c>
      <c r="J125" s="12" t="n">
        <v>4.45</v>
      </c>
      <c r="K125" s="12" t="n">
        <v>0.24</v>
      </c>
      <c r="L125" s="12" t="n">
        <v>1000</v>
      </c>
      <c r="M125" s="53">
        <f>(I125*J125*L125)+K125</f>
        <v/>
      </c>
      <c r="N125" s="60" t="n">
        <v>52.58</v>
      </c>
      <c r="O125" s="60">
        <f>N125/M125</f>
        <v/>
      </c>
      <c r="P125" s="55">
        <f>F125*N125</f>
        <v/>
      </c>
      <c r="Q125" s="29" t="n">
        <v>3551.52</v>
      </c>
      <c r="R125" s="56" t="n">
        <v>0</v>
      </c>
      <c r="S125" s="57">
        <f>Q125*0.0919</f>
        <v/>
      </c>
      <c r="T125" s="58">
        <f>Q125-((M125*F125)+R125+S125)</f>
        <v/>
      </c>
      <c r="U125" s="57">
        <f>Q125-P125-R125-S125</f>
        <v/>
      </c>
      <c r="V125" s="21">
        <f>U125/P125</f>
        <v/>
      </c>
      <c r="W125" s="59">
        <f>T125-U125</f>
        <v/>
      </c>
    </row>
    <row r="126">
      <c r="A126" s="23" t="n">
        <v>3638</v>
      </c>
      <c r="B126" s="9" t="n"/>
      <c r="C126" s="10" t="inlineStr">
        <is>
          <t>M2000</t>
        </is>
      </c>
      <c r="D126" s="10" t="inlineStr">
        <is>
          <t>Etiqueta Colorida</t>
        </is>
      </c>
      <c r="E126" s="10" t="inlineStr">
        <is>
          <t>ETCOUAMARELA100x100</t>
        </is>
      </c>
      <c r="F126" s="11" t="n">
        <v>100</v>
      </c>
      <c r="G126" s="12" t="n">
        <v>100</v>
      </c>
      <c r="H126" s="12" t="n">
        <v>100</v>
      </c>
      <c r="I126" s="12">
        <f>((G126+6)*(H126+3))/1000000</f>
        <v/>
      </c>
      <c r="J126" s="12" t="n">
        <v>3.26</v>
      </c>
      <c r="K126" s="12" t="n">
        <v>1.32</v>
      </c>
      <c r="L126" s="12" t="n">
        <v>1000</v>
      </c>
      <c r="M126" s="53">
        <f>(I126*J126*L126)+K126</f>
        <v/>
      </c>
      <c r="N126" s="60" t="n">
        <v>37.8</v>
      </c>
      <c r="O126" s="15">
        <f>N126/M126</f>
        <v/>
      </c>
      <c r="P126" s="55">
        <f>F126*N126</f>
        <v/>
      </c>
      <c r="Q126" s="17" t="n">
        <v>5460</v>
      </c>
      <c r="R126" s="56" t="n">
        <v>100</v>
      </c>
      <c r="S126" s="57">
        <f>Q126*0.0919</f>
        <v/>
      </c>
      <c r="T126" s="58">
        <f>Q126-((M126*F126)+R126+S126)</f>
        <v/>
      </c>
      <c r="U126" s="57">
        <f>Q126-P126-R126-S126</f>
        <v/>
      </c>
      <c r="V126" s="21">
        <f>U126/P126</f>
        <v/>
      </c>
      <c r="W126" s="59">
        <f>T126-U126</f>
        <v/>
      </c>
    </row>
    <row r="127">
      <c r="A127" s="8" t="n">
        <v>1196</v>
      </c>
      <c r="B127" s="9" t="n">
        <v>46258</v>
      </c>
      <c r="C127" s="10" t="inlineStr">
        <is>
          <t>LABORCLINICA</t>
        </is>
      </c>
      <c r="D127" s="10" t="inlineStr">
        <is>
          <t>Etiqueta</t>
        </is>
      </c>
      <c r="E127" s="10" t="inlineStr">
        <is>
          <t>ETERMICA50X30</t>
        </is>
      </c>
      <c r="F127" s="11" t="n">
        <v>130</v>
      </c>
      <c r="G127" s="12" t="n">
        <v>50</v>
      </c>
      <c r="H127" s="12" t="n">
        <v>30</v>
      </c>
      <c r="I127" s="12">
        <f>((G127+6)*(H127+3))/1000000</f>
        <v/>
      </c>
      <c r="J127" s="12" t="n">
        <v>3.6</v>
      </c>
      <c r="K127" s="12" t="n">
        <v>0.24</v>
      </c>
      <c r="L127" s="12" t="n">
        <v>1500</v>
      </c>
      <c r="M127" s="53">
        <f>(I127*J127*L127)+K127</f>
        <v/>
      </c>
      <c r="N127" s="60" t="n">
        <v>10.91</v>
      </c>
      <c r="O127" s="15">
        <f>N127/M127</f>
        <v/>
      </c>
      <c r="P127" s="55">
        <f>F127*N127</f>
        <v/>
      </c>
      <c r="Q127" s="17" t="n">
        <v>2684.5</v>
      </c>
      <c r="R127" s="56" t="n">
        <v>160</v>
      </c>
      <c r="S127" s="57">
        <f>Q127*0.0919</f>
        <v/>
      </c>
      <c r="T127" s="58">
        <f>Q127-((M127*F127)+R127+S127)</f>
        <v/>
      </c>
      <c r="U127" s="57">
        <f>Q127-P127-R127-S127</f>
        <v/>
      </c>
      <c r="V127" s="21">
        <f>U127/P127</f>
        <v/>
      </c>
      <c r="W127" s="59">
        <f>T127-U127</f>
        <v/>
      </c>
    </row>
    <row r="128">
      <c r="A128" s="8" t="n">
        <v>1197</v>
      </c>
      <c r="B128" s="9" t="n">
        <v>46259</v>
      </c>
      <c r="C128" s="10" t="inlineStr">
        <is>
          <t>FRIVASA</t>
        </is>
      </c>
      <c r="D128" s="10" t="inlineStr">
        <is>
          <t>Etiqueta</t>
        </is>
      </c>
      <c r="E128" s="10" t="inlineStr">
        <is>
          <t>ET102197</t>
        </is>
      </c>
      <c r="F128" s="11" t="n">
        <v>120</v>
      </c>
      <c r="G128" s="12" t="n">
        <v>102</v>
      </c>
      <c r="H128" s="12" t="n">
        <v>197</v>
      </c>
      <c r="I128" s="12">
        <f>((G128+6)*(H128+3))/1000000</f>
        <v/>
      </c>
      <c r="J128" s="12" t="n">
        <v>4.45</v>
      </c>
      <c r="K128" s="12" t="n">
        <v>1.32</v>
      </c>
      <c r="L128" s="12" t="n">
        <v>500</v>
      </c>
      <c r="M128" s="53">
        <f>(I128*J128*L128)+K128</f>
        <v/>
      </c>
      <c r="N128" s="60" t="n">
        <v>50.78</v>
      </c>
      <c r="O128" s="15">
        <f>N128/M128</f>
        <v/>
      </c>
      <c r="P128" s="55">
        <f>F128*N128</f>
        <v/>
      </c>
      <c r="Q128" s="29" t="n">
        <v>8035.2</v>
      </c>
      <c r="R128" s="56" t="n">
        <v>115.56</v>
      </c>
      <c r="S128" s="57">
        <f>Q128*0.0919</f>
        <v/>
      </c>
      <c r="T128" s="58">
        <f>Q128-((M128*F128)+R128+S128)</f>
        <v/>
      </c>
      <c r="U128" s="57">
        <f>Q128-P128-R128-S128</f>
        <v/>
      </c>
      <c r="V128" s="21">
        <f>U128/P128</f>
        <v/>
      </c>
      <c r="W128" s="59">
        <f>T128-U128</f>
        <v/>
      </c>
      <c r="X128" t="inlineStr">
        <is>
          <t>ok</t>
        </is>
      </c>
    </row>
    <row r="129">
      <c r="A129" s="23" t="n">
        <v>3641</v>
      </c>
      <c r="B129" s="9" t="n">
        <v>46265</v>
      </c>
      <c r="C129" s="10" t="inlineStr">
        <is>
          <t>ALS PHARMA</t>
        </is>
      </c>
      <c r="D129" s="10" t="inlineStr">
        <is>
          <t>Etiqueta</t>
        </is>
      </c>
      <c r="E129" s="10" t="inlineStr">
        <is>
          <t>ETALS50X25</t>
        </is>
      </c>
      <c r="F129" s="11" t="n">
        <v>40</v>
      </c>
      <c r="G129" s="12" t="n">
        <v>50</v>
      </c>
      <c r="H129" s="12" t="n">
        <v>25</v>
      </c>
      <c r="I129" s="12">
        <f>((G129+6)*(H129+3))/1000000</f>
        <v/>
      </c>
      <c r="J129" s="12" t="n">
        <v>3.26</v>
      </c>
      <c r="K129" s="12" t="n">
        <v>0.24</v>
      </c>
      <c r="L129" s="12" t="n">
        <v>1120</v>
      </c>
      <c r="M129" s="53" t="n">
        <v>13.63</v>
      </c>
      <c r="N129" s="60" t="n">
        <v>13.63</v>
      </c>
      <c r="O129" s="15">
        <f>N129/M129</f>
        <v/>
      </c>
      <c r="P129" s="55">
        <f>F129*N129</f>
        <v/>
      </c>
      <c r="Q129" s="17" t="n">
        <v>862.8</v>
      </c>
      <c r="R129" s="56" t="n">
        <v>93.91</v>
      </c>
      <c r="S129" s="57">
        <f>Q129*0.0919</f>
        <v/>
      </c>
      <c r="T129" s="58">
        <f>Q129-((M129*F129)+R129+S129)</f>
        <v/>
      </c>
      <c r="U129" s="57">
        <f>Q129-P129-R129-S129</f>
        <v/>
      </c>
      <c r="V129" s="21">
        <f>U129/P129</f>
        <v/>
      </c>
      <c r="W129" s="59">
        <f>T129-U129</f>
        <v/>
      </c>
    </row>
    <row r="130">
      <c r="A130" s="8" t="n">
        <v>1198</v>
      </c>
      <c r="B130" s="9" t="n">
        <v>46260</v>
      </c>
      <c r="C130" s="10" t="inlineStr">
        <is>
          <t>BIOCON NOVA LIMA</t>
        </is>
      </c>
      <c r="D130" s="10" t="inlineStr">
        <is>
          <t>Etiqueta</t>
        </is>
      </c>
      <c r="E130" s="10" t="inlineStr">
        <is>
          <t>ECOU90X60</t>
        </is>
      </c>
      <c r="F130" s="11" t="n">
        <v>200</v>
      </c>
      <c r="G130" s="12" t="n">
        <v>90</v>
      </c>
      <c r="H130" s="12" t="n">
        <v>60</v>
      </c>
      <c r="I130" s="12">
        <f>((G130+6)*(H130+3))/1000000</f>
        <v/>
      </c>
      <c r="J130" s="12" t="n">
        <v>3.26</v>
      </c>
      <c r="K130" s="12" t="n">
        <v>0.31</v>
      </c>
      <c r="L130" s="12" t="n">
        <v>500</v>
      </c>
      <c r="M130" s="53" t="n">
        <v>14.78</v>
      </c>
      <c r="N130" s="60" t="n">
        <v>14.78</v>
      </c>
      <c r="O130" s="60">
        <f>N130/M130</f>
        <v/>
      </c>
      <c r="P130" s="55">
        <f>F130*N130</f>
        <v/>
      </c>
      <c r="Q130" s="17" t="n">
        <v>3846</v>
      </c>
      <c r="R130" s="56" t="n">
        <v>120</v>
      </c>
      <c r="S130" s="57">
        <f>Q130*0.0919</f>
        <v/>
      </c>
      <c r="T130" s="58">
        <f>Q130-((M130*F130)+R130+S130)</f>
        <v/>
      </c>
      <c r="U130" s="57">
        <f>Q130-P130-R130-S130</f>
        <v/>
      </c>
      <c r="V130" s="21">
        <f>U130/P130</f>
        <v/>
      </c>
      <c r="W130" s="59">
        <f>T130-U130</f>
        <v/>
      </c>
    </row>
    <row r="131">
      <c r="A131" s="39" t="n"/>
      <c r="B131" s="40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P131" s="39" t="n"/>
      <c r="Q131" s="41" t="n"/>
      <c r="R131" s="68" t="n"/>
      <c r="S131" s="43" t="n"/>
      <c r="T131" s="43" t="n"/>
      <c r="U131" s="69" t="n"/>
    </row>
    <row r="132">
      <c r="A132" s="39" t="n"/>
      <c r="B132" s="40" t="n"/>
      <c r="C132" s="34" t="n"/>
      <c r="D132" s="34" t="n"/>
      <c r="E132" s="45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P132" s="46">
        <f>SUM(P2:P130)</f>
        <v/>
      </c>
      <c r="Q132" s="46">
        <f>SUM(Q2:Q130)</f>
        <v/>
      </c>
      <c r="R132" s="68">
        <f>SUM(R2:R130)</f>
        <v/>
      </c>
      <c r="S132" s="70">
        <f>SUM(S73:S123)</f>
        <v/>
      </c>
      <c r="T132" s="70" t="n"/>
      <c r="U132" s="59">
        <f>SUM(U64:U123)</f>
        <v/>
      </c>
    </row>
    <row r="133">
      <c r="A133" s="39" t="n"/>
      <c r="B133" s="40" t="n"/>
      <c r="C133" s="34" t="n"/>
      <c r="D133" s="34" t="n"/>
      <c r="E133" s="45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P133" s="39" t="n"/>
      <c r="Q133" s="41" t="n"/>
      <c r="R133" s="68" t="n"/>
      <c r="S133" s="43" t="n"/>
      <c r="T133" s="43" t="n"/>
    </row>
    <row r="134">
      <c r="A134" s="39" t="n"/>
      <c r="B134" s="40" t="n"/>
      <c r="C134" s="34" t="n"/>
      <c r="D134" s="34" t="n"/>
      <c r="E134" s="45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P134" s="39" t="n"/>
      <c r="Q134" s="48">
        <f>SUM(#REF!+Q132)</f>
        <v/>
      </c>
      <c r="R134" s="68" t="n"/>
      <c r="S134" s="43" t="n"/>
      <c r="T134" s="43" t="n"/>
    </row>
    <row r="135">
      <c r="A135" s="11" t="n">
        <v>3611</v>
      </c>
      <c r="B135" s="9" t="n">
        <v>46245</v>
      </c>
      <c r="C135" s="10" t="inlineStr">
        <is>
          <t>FRANCAP</t>
        </is>
      </c>
      <c r="D135" s="10" t="inlineStr">
        <is>
          <t>Ribbon</t>
        </is>
      </c>
      <c r="E135" s="10" t="inlineStr">
        <is>
          <t>P11074108</t>
        </is>
      </c>
      <c r="F135" s="11" t="n">
        <v>30</v>
      </c>
      <c r="N135" s="60" t="n">
        <v>2.64</v>
      </c>
      <c r="P135" s="55" t="n">
        <v>79.2</v>
      </c>
      <c r="Q135" s="17" t="n">
        <v>146.7</v>
      </c>
      <c r="R135" s="56" t="n">
        <v>0</v>
      </c>
      <c r="S135" s="57" t="n">
        <v>13.48</v>
      </c>
      <c r="T135" s="62" t="n">
        <v>54.02</v>
      </c>
      <c r="U135" s="57" t="n">
        <v>54.02</v>
      </c>
      <c r="V135" s="21" t="n">
        <v>0.682070707070707</v>
      </c>
      <c r="W135" s="59" t="n">
        <v>0</v>
      </c>
      <c r="X135" t="inlineStr">
        <is>
          <t>faturamento conferido R$ 146,70 · custo conferido R$ 92,68</t>
        </is>
      </c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priority="4" operator="lessThan" dxfId="0">
      <formula>0.1</formula>
    </cfRule>
  </conditionalFormatting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2026-09-07T14:41:39Z</dcterms:created>
  <dcterms:modified xsi:type="dcterms:W3CDTF">2026-09-16T18:35:29Z</dcterms:modified>
  <cp:lastModifiedBy>User</cp:lastModifiedBy>
</cp:coreProperties>
</file>