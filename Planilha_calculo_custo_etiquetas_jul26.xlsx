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ibbontech\Inteligência Artificial\"/>
    </mc:Choice>
  </mc:AlternateContent>
  <xr:revisionPtr revIDLastSave="0" documentId="8_{F4A05C1F-55C2-4704-AA53-7FB54223B4F8}" xr6:coauthVersionLast="47" xr6:coauthVersionMax="47" xr10:uidLastSave="{00000000-0000-0000-0000-000000000000}"/>
  <bookViews>
    <workbookView xWindow="-110" yWindow="-110" windowWidth="19420" windowHeight="10300" xr2:uid="{07C5F0EE-A2D4-4D74-885E-C0285FFB3F05}"/>
  </bookViews>
  <sheets>
    <sheet name="Cálculo de custo de etique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8" i="1" l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G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G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<sst xmlns="http://schemas.openxmlformats.org/spreadsheetml/2006/main" count="186" uniqueCount="103">
  <si>
    <t>NF</t>
  </si>
  <si>
    <t>Cliente</t>
  </si>
  <si>
    <t>metragem do rolo - m</t>
  </si>
  <si>
    <t>dimensões</t>
  </si>
  <si>
    <t>Material</t>
  </si>
  <si>
    <t>Quantidade tubetes</t>
  </si>
  <si>
    <t>quantidade etiquetas por rolo</t>
  </si>
  <si>
    <t>tipo tubete</t>
  </si>
  <si>
    <t>Custo do material</t>
  </si>
  <si>
    <t>Quantidade de embalagens</t>
  </si>
  <si>
    <t>Custo da embalagem</t>
  </si>
  <si>
    <t>custo embalagem por rolo</t>
  </si>
  <si>
    <t>RT001161</t>
  </si>
  <si>
    <t>EMIS - BOPP T3</t>
  </si>
  <si>
    <t>51 X 51</t>
  </si>
  <si>
    <t>BOPP PROTACK 120 X 1000 AP725</t>
  </si>
  <si>
    <t>3 x 56</t>
  </si>
  <si>
    <t xml:space="preserve">100 x 30 </t>
  </si>
  <si>
    <t>3 x 106</t>
  </si>
  <si>
    <t>EMIS - COUCHE T1</t>
  </si>
  <si>
    <t>100 X 70</t>
  </si>
  <si>
    <t>COUCHE COLACRIL 212 x 1500 ADC5240</t>
  </si>
  <si>
    <t>1 x 106</t>
  </si>
  <si>
    <t>EMIS - COUCHE T3</t>
  </si>
  <si>
    <t>IPSEMG</t>
  </si>
  <si>
    <t>100 X 85</t>
  </si>
  <si>
    <t>48 X 33</t>
  </si>
  <si>
    <t>1 x 56</t>
  </si>
  <si>
    <t>RT001160</t>
  </si>
  <si>
    <t>SIBELE ALIMENTOS</t>
  </si>
  <si>
    <t>100 X 130</t>
  </si>
  <si>
    <t>BOPP PROTACK 120 x 1000 AP725</t>
  </si>
  <si>
    <t>RT001158</t>
  </si>
  <si>
    <t>SANTA CRUZ ACABAMENTOS</t>
  </si>
  <si>
    <t>100 x 50</t>
  </si>
  <si>
    <t>COUCHE COLACRIL 110 X 1500 ADC5240</t>
  </si>
  <si>
    <t>LONAX</t>
  </si>
  <si>
    <t>100 X 100</t>
  </si>
  <si>
    <t>BOPP PROTACK 212 X 1000 AP718</t>
  </si>
  <si>
    <t>RT001165</t>
  </si>
  <si>
    <t>VITAMINAS</t>
  </si>
  <si>
    <t>2,5 x 10,4</t>
  </si>
  <si>
    <t xml:space="preserve">COUCHE COLACRIL 110 X 1500 ADC5240 </t>
  </si>
  <si>
    <t>1 x 110</t>
  </si>
  <si>
    <t>RT001150</t>
  </si>
  <si>
    <t>BASE</t>
  </si>
  <si>
    <t>100 X 50</t>
  </si>
  <si>
    <t>RT001152</t>
  </si>
  <si>
    <t>INJEX ROSA</t>
  </si>
  <si>
    <t>RT001149</t>
  </si>
  <si>
    <t>FRIGORIFICO ATALAIA</t>
  </si>
  <si>
    <t>100 X 40</t>
  </si>
  <si>
    <t>BOPP PROTACK AP725</t>
  </si>
  <si>
    <t>NUTRISANTOS COUCHE</t>
  </si>
  <si>
    <t>COUCHE FASSON 212 X 1000 S2045</t>
  </si>
  <si>
    <t>NUTRISANTOS BOPP</t>
  </si>
  <si>
    <t>100 X 150</t>
  </si>
  <si>
    <t>RT001143</t>
  </si>
  <si>
    <t>Vetor Distribuidora</t>
  </si>
  <si>
    <t>RT001142</t>
  </si>
  <si>
    <t>FIGUEIREDO SM</t>
  </si>
  <si>
    <t>100 X 80</t>
  </si>
  <si>
    <t>IRMANDADE NOSSA SENHORA DAS DORES</t>
  </si>
  <si>
    <t>100 X 75</t>
  </si>
  <si>
    <t>COUCHE FASSON 212 x 1000 S2045</t>
  </si>
  <si>
    <t>RT001141</t>
  </si>
  <si>
    <t>EXPEDIDO - EI BELEZA</t>
  </si>
  <si>
    <t xml:space="preserve">COUCHE COLACRIL 212 x 1500 ADC5240 </t>
  </si>
  <si>
    <t>RT001139</t>
  </si>
  <si>
    <t>AUTOLOG VERMELHA</t>
  </si>
  <si>
    <t>100 x 100</t>
  </si>
  <si>
    <t>RT001146</t>
  </si>
  <si>
    <t>INJEX VERMELHA</t>
  </si>
  <si>
    <t>RT001163</t>
  </si>
  <si>
    <t>INJEX</t>
  </si>
  <si>
    <t>50 X 40 X 2</t>
  </si>
  <si>
    <t xml:space="preserve">COUCHE COLACRIL 110 x 1500 ADC5240 </t>
  </si>
  <si>
    <t>RT001147</t>
  </si>
  <si>
    <t>INJEX AZUL</t>
  </si>
  <si>
    <t>RT001145</t>
  </si>
  <si>
    <t>DIAGNOSTICA NOVA LIMA</t>
  </si>
  <si>
    <t>90 X 60</t>
  </si>
  <si>
    <t>1 x 96</t>
  </si>
  <si>
    <t>LABICON - TRINDADE</t>
  </si>
  <si>
    <t>50 X 30</t>
  </si>
  <si>
    <t>LABICON LARANJA</t>
  </si>
  <si>
    <t>REFILE QUE TINHA NO ESTOQUE</t>
  </si>
  <si>
    <t>RT001135</t>
  </si>
  <si>
    <t>80 X 125</t>
  </si>
  <si>
    <t>BOPP COLACRIL 172 X 2000 ADC3000</t>
  </si>
  <si>
    <t>3 x 86</t>
  </si>
  <si>
    <t>FRANCAP</t>
  </si>
  <si>
    <t>BOPP PROTACK 172 X 1000 AP725</t>
  </si>
  <si>
    <t>RT001131</t>
  </si>
  <si>
    <t>TRIUNFO</t>
  </si>
  <si>
    <t>RT001137</t>
  </si>
  <si>
    <t>BOPP PROTACK 110 X 1000 AP725</t>
  </si>
  <si>
    <t>RT001130</t>
  </si>
  <si>
    <t>LABORCLINICA</t>
  </si>
  <si>
    <t>TERMICO 110 X 1000 HM2520</t>
  </si>
  <si>
    <t>LOPAS</t>
  </si>
  <si>
    <t>100 X 25</t>
  </si>
  <si>
    <t>BOPP PROTACK 152 X 1000 AP718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</si>
</sst>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2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43" fontId="0" fillId="0" borderId="1" xfId="1" applyFont="1" applyBorder="1"/>
    <xf numFmtId="0" fontId="3" fillId="0" borderId="1" xfId="2" applyFill="1" applyBorder="1" applyAlignment="1">
      <alignment horizontal="center"/>
    </xf>
    <xf numFmtId="0" fontId="3" fillId="2" borderId="1" xfId="2" applyFill="1" applyBorder="1" applyAlignment="1">
      <alignment horizontal="center"/>
    </xf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E1F54-E856-4319-801F-1BC8D092E894}">
  <dimension ref="A1:L38"/>
  <sheetViews>
    <sheetView tabSelected="1" workbookViewId="0">
      <selection activeCell="C13" sqref="C13"/>
    </sheetView>
  </sheetViews>
  <sheetFormatPr defaultRowHeight="14.5" x14ac:dyDescent="0.35"/>
  <cols>
    <col min="1" max="1" width="14.1796875" customWidth="1"/>
    <col min="2" max="2" width="36.453125" bestFit="1" customWidth="1"/>
    <col min="3" max="3" width="17.36328125" customWidth="1"/>
    <col min="4" max="4" width="14.08984375" customWidth="1"/>
    <col min="5" max="5" width="34.1796875" customWidth="1"/>
    <col min="6" max="6" width="17.54296875" bestFit="1" customWidth="1"/>
    <col min="7" max="7" width="26.08984375" bestFit="1" customWidth="1"/>
    <col min="8" max="8" width="10" bestFit="1" customWidth="1"/>
    <col min="9" max="9" width="15.6328125" bestFit="1" customWidth="1"/>
    <col min="10" max="10" width="23.90625" bestFit="1" customWidth="1"/>
    <col min="11" max="11" width="18.453125" bestFit="1" customWidth="1"/>
    <col min="12" max="12" width="22.90625" bestFit="1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3" t="s">
        <v>12</v>
      </c>
      <c r="B2" s="4" t="s">
        <v>13</v>
      </c>
      <c r="C2" s="1">
        <v>50</v>
      </c>
      <c r="D2" s="1" t="s">
        <v>14</v>
      </c>
      <c r="E2" s="5" t="s">
        <v>15</v>
      </c>
      <c r="F2" s="2">
        <v>3</v>
      </c>
      <c r="G2" s="2">
        <v>1111</v>
      </c>
      <c r="H2" s="2" t="s">
        <v>16</v>
      </c>
      <c r="I2" s="2">
        <v>4.45</v>
      </c>
      <c r="J2" s="2">
        <v>0.5</v>
      </c>
      <c r="K2" s="2">
        <v>5.25</v>
      </c>
      <c r="L2" s="2">
        <f>J2*K2/F2</f>
        <v>0.875</v>
      </c>
    </row>
    <row r="3" spans="1:12" x14ac:dyDescent="0.35">
      <c r="A3" s="3" t="s">
        <v>12</v>
      </c>
      <c r="B3" s="5" t="s">
        <v>13</v>
      </c>
      <c r="C3" s="1">
        <v>100</v>
      </c>
      <c r="D3" s="1" t="s">
        <v>17</v>
      </c>
      <c r="E3" s="5" t="s">
        <v>15</v>
      </c>
      <c r="F3" s="2">
        <v>3</v>
      </c>
      <c r="G3" s="2">
        <v>1000</v>
      </c>
      <c r="H3" s="2" t="s">
        <v>18</v>
      </c>
      <c r="I3" s="2">
        <v>4.45</v>
      </c>
      <c r="J3" s="2">
        <v>0.5</v>
      </c>
      <c r="K3" s="2">
        <v>5.25</v>
      </c>
      <c r="L3" s="2">
        <f t="shared" ref="L3:L38" si="0">J3*K3/F3</f>
        <v>0.875</v>
      </c>
    </row>
    <row r="4" spans="1:12" x14ac:dyDescent="0.35">
      <c r="A4" s="3" t="s">
        <v>12</v>
      </c>
      <c r="B4" s="5" t="s">
        <v>19</v>
      </c>
      <c r="C4" s="1">
        <v>1000</v>
      </c>
      <c r="D4" s="1" t="s">
        <v>20</v>
      </c>
      <c r="E4" s="5" t="s">
        <v>21</v>
      </c>
      <c r="F4" s="2">
        <v>50</v>
      </c>
      <c r="G4" s="2">
        <v>554</v>
      </c>
      <c r="H4" s="2" t="s">
        <v>22</v>
      </c>
      <c r="I4" s="2">
        <v>3.26</v>
      </c>
      <c r="J4" s="2">
        <v>1</v>
      </c>
      <c r="K4" s="2">
        <v>5.25</v>
      </c>
      <c r="L4" s="2">
        <f t="shared" si="0"/>
        <v>0.105</v>
      </c>
    </row>
    <row r="5" spans="1:12" x14ac:dyDescent="0.35">
      <c r="A5" s="3" t="s">
        <v>12</v>
      </c>
      <c r="B5" s="5" t="s">
        <v>23</v>
      </c>
      <c r="C5" s="1">
        <v>2250</v>
      </c>
      <c r="D5" s="1" t="s">
        <v>20</v>
      </c>
      <c r="E5" s="5" t="s">
        <v>21</v>
      </c>
      <c r="F5" s="2">
        <v>50</v>
      </c>
      <c r="G5" s="2">
        <v>1285</v>
      </c>
      <c r="H5" s="2" t="s">
        <v>18</v>
      </c>
      <c r="I5" s="2">
        <v>3.26</v>
      </c>
      <c r="J5" s="2">
        <v>7</v>
      </c>
      <c r="K5" s="2">
        <v>5.25</v>
      </c>
      <c r="L5" s="2">
        <f t="shared" si="0"/>
        <v>0.73499999999999999</v>
      </c>
    </row>
    <row r="6" spans="1:12" x14ac:dyDescent="0.35">
      <c r="A6" s="3">
        <v>3595</v>
      </c>
      <c r="B6" s="5" t="s">
        <v>24</v>
      </c>
      <c r="C6" s="1">
        <v>440</v>
      </c>
      <c r="D6" s="1" t="s">
        <v>25</v>
      </c>
      <c r="E6" s="5" t="s">
        <v>21</v>
      </c>
      <c r="F6" s="2">
        <v>20</v>
      </c>
      <c r="G6" s="2">
        <v>500</v>
      </c>
      <c r="H6" s="2" t="s">
        <v>22</v>
      </c>
      <c r="I6" s="2">
        <v>3.26</v>
      </c>
      <c r="J6" s="2">
        <v>1</v>
      </c>
      <c r="K6" s="2">
        <v>5.25</v>
      </c>
      <c r="L6" s="2">
        <f t="shared" si="0"/>
        <v>0.26250000000000001</v>
      </c>
    </row>
    <row r="7" spans="1:12" x14ac:dyDescent="0.35">
      <c r="A7" s="3">
        <v>3595</v>
      </c>
      <c r="B7" s="5" t="s">
        <v>24</v>
      </c>
      <c r="C7" s="1">
        <v>410</v>
      </c>
      <c r="D7" s="1" t="s">
        <v>26</v>
      </c>
      <c r="E7" s="5" t="s">
        <v>21</v>
      </c>
      <c r="F7" s="2">
        <v>20</v>
      </c>
      <c r="G7" s="2">
        <v>2500</v>
      </c>
      <c r="H7" s="2" t="s">
        <v>27</v>
      </c>
      <c r="I7" s="2">
        <v>3.26</v>
      </c>
      <c r="J7" s="2">
        <v>1</v>
      </c>
      <c r="K7" s="2">
        <v>5.25</v>
      </c>
      <c r="L7" s="2">
        <f t="shared" si="0"/>
        <v>0.26250000000000001</v>
      </c>
    </row>
    <row r="8" spans="1:12" x14ac:dyDescent="0.35">
      <c r="A8" s="3" t="s">
        <v>28</v>
      </c>
      <c r="B8" s="4" t="s">
        <v>29</v>
      </c>
      <c r="C8" s="1">
        <v>390</v>
      </c>
      <c r="D8" s="1" t="s">
        <v>30</v>
      </c>
      <c r="E8" s="5" t="s">
        <v>31</v>
      </c>
      <c r="F8" s="2">
        <v>10</v>
      </c>
      <c r="G8" s="2">
        <v>300</v>
      </c>
      <c r="H8" s="2" t="s">
        <v>22</v>
      </c>
      <c r="I8" s="2">
        <v>4.45</v>
      </c>
      <c r="J8" s="2">
        <v>1</v>
      </c>
      <c r="K8" s="2">
        <v>5.25</v>
      </c>
      <c r="L8" s="2">
        <f t="shared" si="0"/>
        <v>0.52500000000000002</v>
      </c>
    </row>
    <row r="9" spans="1:12" x14ac:dyDescent="0.35">
      <c r="A9" s="3" t="s">
        <v>32</v>
      </c>
      <c r="B9" s="4" t="s">
        <v>33</v>
      </c>
      <c r="C9" s="1">
        <v>250</v>
      </c>
      <c r="D9" s="1" t="s">
        <v>34</v>
      </c>
      <c r="E9" s="5" t="s">
        <v>35</v>
      </c>
      <c r="F9" s="2">
        <v>10</v>
      </c>
      <c r="G9" s="2">
        <v>500</v>
      </c>
      <c r="H9" s="2" t="s">
        <v>22</v>
      </c>
      <c r="I9" s="2">
        <v>3.26</v>
      </c>
      <c r="J9" s="2">
        <v>0.3</v>
      </c>
      <c r="K9" s="2">
        <v>5.25</v>
      </c>
      <c r="L9" s="2">
        <f t="shared" si="0"/>
        <v>0.1575</v>
      </c>
    </row>
    <row r="10" spans="1:12" x14ac:dyDescent="0.35">
      <c r="A10" s="3" t="s">
        <v>32</v>
      </c>
      <c r="B10" s="5" t="s">
        <v>33</v>
      </c>
      <c r="C10" s="1">
        <v>250</v>
      </c>
      <c r="D10" s="1" t="s">
        <v>34</v>
      </c>
      <c r="E10" s="5" t="s">
        <v>35</v>
      </c>
      <c r="F10" s="2">
        <v>10</v>
      </c>
      <c r="G10" s="2">
        <v>500</v>
      </c>
      <c r="H10" s="2" t="s">
        <v>22</v>
      </c>
      <c r="I10" s="2">
        <v>3.26</v>
      </c>
      <c r="J10" s="2">
        <v>0.3</v>
      </c>
      <c r="K10" s="2">
        <v>5.25</v>
      </c>
      <c r="L10" s="2">
        <f t="shared" si="0"/>
        <v>0.1575</v>
      </c>
    </row>
    <row r="11" spans="1:12" x14ac:dyDescent="0.35">
      <c r="A11" s="3" t="s">
        <v>32</v>
      </c>
      <c r="B11" s="5" t="s">
        <v>33</v>
      </c>
      <c r="C11" s="1">
        <v>250</v>
      </c>
      <c r="D11" s="1" t="s">
        <v>34</v>
      </c>
      <c r="E11" s="5" t="s">
        <v>35</v>
      </c>
      <c r="F11" s="2">
        <v>10</v>
      </c>
      <c r="G11" s="2">
        <v>500</v>
      </c>
      <c r="H11" s="2" t="s">
        <v>22</v>
      </c>
      <c r="I11" s="2">
        <v>3.26</v>
      </c>
      <c r="J11" s="2">
        <v>0.3</v>
      </c>
      <c r="K11" s="2">
        <v>5.25</v>
      </c>
      <c r="L11" s="2">
        <f t="shared" si="0"/>
        <v>0.1575</v>
      </c>
    </row>
    <row r="12" spans="1:12" x14ac:dyDescent="0.35">
      <c r="A12" s="3">
        <v>3592</v>
      </c>
      <c r="B12" s="5" t="s">
        <v>36</v>
      </c>
      <c r="C12" s="1">
        <v>600</v>
      </c>
      <c r="D12" s="1" t="s">
        <v>37</v>
      </c>
      <c r="E12" s="5" t="s">
        <v>38</v>
      </c>
      <c r="F12" s="2">
        <v>40</v>
      </c>
      <c r="G12" s="6">
        <f>30000/103</f>
        <v>291.26213592233012</v>
      </c>
      <c r="H12" s="2" t="s">
        <v>22</v>
      </c>
      <c r="I12" s="2">
        <v>4.2699999999999996</v>
      </c>
      <c r="J12" s="2">
        <v>1</v>
      </c>
      <c r="K12" s="2">
        <v>5.25</v>
      </c>
      <c r="L12" s="2">
        <f t="shared" si="0"/>
        <v>0.13125000000000001</v>
      </c>
    </row>
    <row r="13" spans="1:12" x14ac:dyDescent="0.35">
      <c r="A13" s="3" t="s">
        <v>39</v>
      </c>
      <c r="B13" s="4" t="s">
        <v>40</v>
      </c>
      <c r="C13" s="1">
        <v>250</v>
      </c>
      <c r="D13" s="1" t="s">
        <v>41</v>
      </c>
      <c r="E13" s="5" t="s">
        <v>42</v>
      </c>
      <c r="F13" s="2">
        <v>10</v>
      </c>
      <c r="G13" s="2">
        <v>1000</v>
      </c>
      <c r="H13" s="2" t="s">
        <v>43</v>
      </c>
      <c r="I13" s="2">
        <v>3.26</v>
      </c>
      <c r="J13" s="2">
        <v>1</v>
      </c>
      <c r="K13" s="2">
        <v>5.25</v>
      </c>
      <c r="L13" s="2">
        <f t="shared" si="0"/>
        <v>0.52500000000000002</v>
      </c>
    </row>
    <row r="14" spans="1:12" x14ac:dyDescent="0.35">
      <c r="A14" s="3" t="s">
        <v>44</v>
      </c>
      <c r="B14" s="4" t="s">
        <v>45</v>
      </c>
      <c r="C14" s="1">
        <v>3000</v>
      </c>
      <c r="D14" s="1" t="s">
        <v>46</v>
      </c>
      <c r="E14" s="5" t="s">
        <v>21</v>
      </c>
      <c r="F14" s="2">
        <v>60</v>
      </c>
      <c r="G14" s="2">
        <v>2000</v>
      </c>
      <c r="H14" s="2" t="s">
        <v>18</v>
      </c>
      <c r="I14" s="2">
        <v>3.26</v>
      </c>
      <c r="J14" s="2">
        <v>9</v>
      </c>
      <c r="K14" s="2">
        <v>5.25</v>
      </c>
      <c r="L14" s="2">
        <f t="shared" si="0"/>
        <v>0.78749999999999998</v>
      </c>
    </row>
    <row r="15" spans="1:12" x14ac:dyDescent="0.35">
      <c r="A15" s="7" t="s">
        <v>47</v>
      </c>
      <c r="B15" s="4" t="s">
        <v>48</v>
      </c>
      <c r="C15" s="1">
        <v>4200</v>
      </c>
      <c r="D15" s="1" t="s">
        <v>20</v>
      </c>
      <c r="E15" s="5" t="s">
        <v>42</v>
      </c>
      <c r="F15" s="2">
        <v>60</v>
      </c>
      <c r="G15" s="2">
        <v>1000</v>
      </c>
      <c r="H15" s="2" t="s">
        <v>22</v>
      </c>
      <c r="I15" s="2">
        <v>3.26</v>
      </c>
      <c r="J15" s="2">
        <v>4</v>
      </c>
      <c r="K15" s="2">
        <v>5.25</v>
      </c>
      <c r="L15" s="2">
        <f t="shared" si="0"/>
        <v>0.35</v>
      </c>
    </row>
    <row r="16" spans="1:12" x14ac:dyDescent="0.35">
      <c r="A16" s="7" t="s">
        <v>49</v>
      </c>
      <c r="B16" s="4" t="s">
        <v>50</v>
      </c>
      <c r="C16" s="1">
        <v>4800</v>
      </c>
      <c r="D16" s="1" t="s">
        <v>51</v>
      </c>
      <c r="E16" s="5" t="s">
        <v>52</v>
      </c>
      <c r="F16" s="2">
        <v>60</v>
      </c>
      <c r="G16" s="2">
        <v>2000</v>
      </c>
      <c r="H16" s="2" t="s">
        <v>18</v>
      </c>
      <c r="I16" s="2">
        <v>4.45</v>
      </c>
      <c r="J16" s="2">
        <v>6</v>
      </c>
      <c r="K16" s="2">
        <v>5.25</v>
      </c>
      <c r="L16" s="2">
        <f t="shared" si="0"/>
        <v>0.52500000000000002</v>
      </c>
    </row>
    <row r="17" spans="1:12" x14ac:dyDescent="0.35">
      <c r="A17" s="3">
        <v>3587</v>
      </c>
      <c r="B17" s="5" t="s">
        <v>53</v>
      </c>
      <c r="C17" s="1">
        <v>1250</v>
      </c>
      <c r="D17" s="1" t="s">
        <v>46</v>
      </c>
      <c r="E17" s="5" t="s">
        <v>54</v>
      </c>
      <c r="F17" s="2">
        <v>50</v>
      </c>
      <c r="G17" s="2">
        <v>1000</v>
      </c>
      <c r="H17" s="2" t="s">
        <v>22</v>
      </c>
      <c r="I17" s="2">
        <v>3.25</v>
      </c>
      <c r="J17" s="2">
        <v>3</v>
      </c>
      <c r="K17" s="2">
        <v>5.25</v>
      </c>
      <c r="L17" s="2">
        <f t="shared" si="0"/>
        <v>0.315</v>
      </c>
    </row>
    <row r="18" spans="1:12" x14ac:dyDescent="0.35">
      <c r="A18" s="3">
        <v>3588</v>
      </c>
      <c r="B18" s="5" t="s">
        <v>55</v>
      </c>
      <c r="C18" s="1">
        <v>6750</v>
      </c>
      <c r="D18" s="1" t="s">
        <v>56</v>
      </c>
      <c r="E18" s="5" t="s">
        <v>38</v>
      </c>
      <c r="F18" s="2">
        <v>60</v>
      </c>
      <c r="G18" s="2">
        <v>1500</v>
      </c>
      <c r="H18" s="2" t="s">
        <v>18</v>
      </c>
      <c r="I18" s="2">
        <v>4.2699999999999996</v>
      </c>
      <c r="J18" s="2">
        <v>15</v>
      </c>
      <c r="K18" s="2">
        <v>5.25</v>
      </c>
      <c r="L18" s="2">
        <f t="shared" si="0"/>
        <v>1.3125</v>
      </c>
    </row>
    <row r="19" spans="1:12" x14ac:dyDescent="0.35">
      <c r="A19" s="7" t="s">
        <v>57</v>
      </c>
      <c r="B19" s="4" t="s">
        <v>58</v>
      </c>
      <c r="C19" s="1">
        <v>775</v>
      </c>
      <c r="D19" s="1" t="s">
        <v>37</v>
      </c>
      <c r="E19" s="5" t="s">
        <v>54</v>
      </c>
      <c r="F19" s="2">
        <v>50</v>
      </c>
      <c r="G19" s="2">
        <v>310</v>
      </c>
      <c r="H19" s="2" t="s">
        <v>22</v>
      </c>
      <c r="I19" s="2">
        <v>3.25</v>
      </c>
      <c r="J19" s="2">
        <v>2</v>
      </c>
      <c r="K19" s="2">
        <v>5.25</v>
      </c>
      <c r="L19" s="2">
        <f t="shared" si="0"/>
        <v>0.21</v>
      </c>
    </row>
    <row r="20" spans="1:12" x14ac:dyDescent="0.35">
      <c r="A20" s="3" t="s">
        <v>59</v>
      </c>
      <c r="B20" s="4" t="s">
        <v>60</v>
      </c>
      <c r="C20" s="1">
        <v>410</v>
      </c>
      <c r="D20" s="1" t="s">
        <v>61</v>
      </c>
      <c r="E20" s="5" t="s">
        <v>38</v>
      </c>
      <c r="F20" s="2">
        <v>21</v>
      </c>
      <c r="G20" s="2">
        <v>470</v>
      </c>
      <c r="H20" s="2" t="s">
        <v>22</v>
      </c>
      <c r="I20" s="2">
        <v>4.2699999999999996</v>
      </c>
      <c r="J20" s="2">
        <v>1</v>
      </c>
      <c r="K20" s="2">
        <v>5.25</v>
      </c>
      <c r="L20" s="2">
        <f t="shared" si="0"/>
        <v>0.25</v>
      </c>
    </row>
    <row r="21" spans="1:12" x14ac:dyDescent="0.35">
      <c r="A21" s="3">
        <v>3583</v>
      </c>
      <c r="B21" s="5" t="s">
        <v>62</v>
      </c>
      <c r="C21" s="1">
        <v>2100</v>
      </c>
      <c r="D21" s="1" t="s">
        <v>63</v>
      </c>
      <c r="E21" s="5" t="s">
        <v>64</v>
      </c>
      <c r="F21" s="2">
        <v>150</v>
      </c>
      <c r="G21" s="2">
        <v>358</v>
      </c>
      <c r="H21" s="2" t="s">
        <v>22</v>
      </c>
      <c r="I21" s="2">
        <v>3.25</v>
      </c>
      <c r="J21" s="2">
        <v>4</v>
      </c>
      <c r="K21" s="2">
        <v>5.25</v>
      </c>
      <c r="L21" s="2">
        <f t="shared" si="0"/>
        <v>0.14000000000000001</v>
      </c>
    </row>
    <row r="22" spans="1:12" x14ac:dyDescent="0.35">
      <c r="A22" s="3" t="s">
        <v>65</v>
      </c>
      <c r="B22" s="4" t="s">
        <v>66</v>
      </c>
      <c r="C22" s="1">
        <v>11400</v>
      </c>
      <c r="D22" s="1" t="s">
        <v>56</v>
      </c>
      <c r="E22" s="5" t="s">
        <v>67</v>
      </c>
      <c r="F22" s="2">
        <v>760</v>
      </c>
      <c r="G22" s="2">
        <v>200</v>
      </c>
      <c r="H22" s="2" t="s">
        <v>22</v>
      </c>
      <c r="I22" s="2">
        <v>3.26</v>
      </c>
      <c r="J22" s="2">
        <v>32</v>
      </c>
      <c r="K22" s="2">
        <v>5.25</v>
      </c>
      <c r="L22" s="2">
        <f t="shared" si="0"/>
        <v>0.22105263157894736</v>
      </c>
    </row>
    <row r="23" spans="1:12" x14ac:dyDescent="0.35">
      <c r="A23" s="3" t="s">
        <v>68</v>
      </c>
      <c r="B23" s="4" t="s">
        <v>69</v>
      </c>
      <c r="C23" s="1">
        <v>3150</v>
      </c>
      <c r="D23" s="1" t="s">
        <v>70</v>
      </c>
      <c r="E23" s="5" t="s">
        <v>42</v>
      </c>
      <c r="F23" s="2">
        <v>90</v>
      </c>
      <c r="G23" s="2">
        <v>340</v>
      </c>
      <c r="H23" s="2" t="s">
        <v>22</v>
      </c>
      <c r="I23" s="2">
        <v>3.26</v>
      </c>
      <c r="J23" s="2">
        <v>3</v>
      </c>
      <c r="K23" s="2">
        <v>5.25</v>
      </c>
      <c r="L23" s="2">
        <f t="shared" si="0"/>
        <v>0.17499999999999999</v>
      </c>
    </row>
    <row r="24" spans="1:12" x14ac:dyDescent="0.35">
      <c r="A24" s="7" t="s">
        <v>71</v>
      </c>
      <c r="B24" s="4" t="s">
        <v>72</v>
      </c>
      <c r="C24" s="1">
        <v>2800</v>
      </c>
      <c r="D24" s="1" t="s">
        <v>20</v>
      </c>
      <c r="E24" s="5" t="s">
        <v>42</v>
      </c>
      <c r="F24" s="2">
        <v>40</v>
      </c>
      <c r="G24" s="2">
        <v>1000</v>
      </c>
      <c r="H24" s="2" t="s">
        <v>22</v>
      </c>
      <c r="I24" s="2">
        <v>3.26</v>
      </c>
      <c r="J24" s="2">
        <v>3</v>
      </c>
      <c r="K24" s="2">
        <v>5.25</v>
      </c>
      <c r="L24" s="2">
        <f t="shared" si="0"/>
        <v>0.39374999999999999</v>
      </c>
    </row>
    <row r="25" spans="1:12" x14ac:dyDescent="0.35">
      <c r="A25" s="8" t="s">
        <v>73</v>
      </c>
      <c r="B25" s="4" t="s">
        <v>74</v>
      </c>
      <c r="C25" s="1">
        <v>5400</v>
      </c>
      <c r="D25" s="1" t="s">
        <v>75</v>
      </c>
      <c r="E25" s="5" t="s">
        <v>76</v>
      </c>
      <c r="F25" s="2">
        <v>135</v>
      </c>
      <c r="G25" s="6">
        <f>40000/43</f>
        <v>930.23255813953483</v>
      </c>
      <c r="H25" s="2" t="s">
        <v>27</v>
      </c>
      <c r="I25" s="2">
        <v>3.26</v>
      </c>
      <c r="J25" s="2">
        <v>5</v>
      </c>
      <c r="K25" s="2">
        <v>5.25</v>
      </c>
      <c r="L25" s="2">
        <f t="shared" si="0"/>
        <v>0.19444444444444445</v>
      </c>
    </row>
    <row r="26" spans="1:12" x14ac:dyDescent="0.35">
      <c r="A26" s="8" t="s">
        <v>77</v>
      </c>
      <c r="B26" s="4" t="s">
        <v>74</v>
      </c>
      <c r="C26" s="1">
        <v>8400</v>
      </c>
      <c r="D26" s="1" t="s">
        <v>20</v>
      </c>
      <c r="E26" s="5" t="s">
        <v>42</v>
      </c>
      <c r="F26" s="2">
        <v>120</v>
      </c>
      <c r="G26" s="2">
        <v>1000</v>
      </c>
      <c r="H26" s="2" t="s">
        <v>22</v>
      </c>
      <c r="I26" s="2">
        <v>3.26</v>
      </c>
      <c r="J26" s="2">
        <v>9</v>
      </c>
      <c r="K26" s="2">
        <v>5.25</v>
      </c>
      <c r="L26" s="2">
        <f t="shared" si="0"/>
        <v>0.39374999999999999</v>
      </c>
    </row>
    <row r="27" spans="1:12" x14ac:dyDescent="0.35">
      <c r="A27" s="7" t="s">
        <v>77</v>
      </c>
      <c r="B27" s="5" t="s">
        <v>78</v>
      </c>
      <c r="C27" s="1">
        <v>2800</v>
      </c>
      <c r="D27" s="1" t="s">
        <v>20</v>
      </c>
      <c r="E27" s="5" t="s">
        <v>42</v>
      </c>
      <c r="F27" s="2">
        <v>40</v>
      </c>
      <c r="G27" s="2">
        <v>1000</v>
      </c>
      <c r="H27" s="2" t="s">
        <v>22</v>
      </c>
      <c r="I27" s="2">
        <v>3.26</v>
      </c>
      <c r="J27" s="2">
        <v>3</v>
      </c>
      <c r="K27" s="2">
        <v>5.25</v>
      </c>
      <c r="L27" s="2">
        <f t="shared" si="0"/>
        <v>0.39374999999999999</v>
      </c>
    </row>
    <row r="28" spans="1:12" x14ac:dyDescent="0.35">
      <c r="A28" s="7" t="s">
        <v>79</v>
      </c>
      <c r="B28" s="4" t="s">
        <v>80</v>
      </c>
      <c r="C28" s="1">
        <v>160</v>
      </c>
      <c r="D28" s="1" t="s">
        <v>17</v>
      </c>
      <c r="E28" s="5" t="s">
        <v>35</v>
      </c>
      <c r="F28" s="2">
        <v>10</v>
      </c>
      <c r="G28" s="2">
        <v>500</v>
      </c>
      <c r="H28" s="2" t="s">
        <v>22</v>
      </c>
      <c r="I28" s="2">
        <v>3.26</v>
      </c>
      <c r="J28" s="2">
        <v>1</v>
      </c>
      <c r="K28" s="2">
        <v>5.25</v>
      </c>
      <c r="L28" s="2">
        <f t="shared" si="0"/>
        <v>0.52500000000000002</v>
      </c>
    </row>
    <row r="29" spans="1:12" x14ac:dyDescent="0.35">
      <c r="A29" s="7" t="s">
        <v>79</v>
      </c>
      <c r="B29" s="5" t="s">
        <v>80</v>
      </c>
      <c r="C29" s="1">
        <v>2250</v>
      </c>
      <c r="D29" s="1" t="s">
        <v>81</v>
      </c>
      <c r="E29" s="5" t="s">
        <v>21</v>
      </c>
      <c r="F29" s="2">
        <v>150</v>
      </c>
      <c r="G29" s="2">
        <v>500</v>
      </c>
      <c r="H29" s="2" t="s">
        <v>82</v>
      </c>
      <c r="I29" s="2">
        <v>3.26</v>
      </c>
      <c r="J29" s="2">
        <v>4</v>
      </c>
      <c r="K29" s="2">
        <v>5.25</v>
      </c>
      <c r="L29" s="2">
        <f t="shared" si="0"/>
        <v>0.14000000000000001</v>
      </c>
    </row>
    <row r="30" spans="1:12" x14ac:dyDescent="0.35">
      <c r="A30" s="7">
        <v>3579</v>
      </c>
      <c r="B30" s="5" t="s">
        <v>83</v>
      </c>
      <c r="C30" s="1">
        <v>1900</v>
      </c>
      <c r="D30" s="1" t="s">
        <v>84</v>
      </c>
      <c r="E30" s="5" t="s">
        <v>38</v>
      </c>
      <c r="F30" s="2">
        <v>130</v>
      </c>
      <c r="G30" s="2">
        <v>1200</v>
      </c>
      <c r="H30" s="2" t="s">
        <v>27</v>
      </c>
      <c r="I30" s="2">
        <v>4.2699999999999996</v>
      </c>
      <c r="J30" s="2">
        <v>5</v>
      </c>
      <c r="K30" s="2">
        <v>5.25</v>
      </c>
      <c r="L30" s="2">
        <f t="shared" si="0"/>
        <v>0.20192307692307693</v>
      </c>
    </row>
    <row r="31" spans="1:12" x14ac:dyDescent="0.35">
      <c r="A31" s="7">
        <v>3579</v>
      </c>
      <c r="B31" s="5" t="s">
        <v>85</v>
      </c>
      <c r="C31" s="1">
        <v>585</v>
      </c>
      <c r="D31" s="1" t="s">
        <v>84</v>
      </c>
      <c r="E31" s="5" t="s">
        <v>86</v>
      </c>
      <c r="F31" s="2">
        <v>15</v>
      </c>
      <c r="G31" s="2">
        <v>1200</v>
      </c>
      <c r="H31" s="2" t="s">
        <v>27</v>
      </c>
      <c r="I31" s="2">
        <v>4.2699999999999996</v>
      </c>
      <c r="J31" s="2">
        <v>1</v>
      </c>
      <c r="K31" s="2">
        <v>5.25</v>
      </c>
      <c r="L31" s="2">
        <f t="shared" si="0"/>
        <v>0.35</v>
      </c>
    </row>
    <row r="32" spans="1:12" x14ac:dyDescent="0.35">
      <c r="A32" s="7">
        <v>3572</v>
      </c>
      <c r="B32" s="5" t="s">
        <v>55</v>
      </c>
      <c r="C32" s="1">
        <v>2625</v>
      </c>
      <c r="D32" s="1" t="s">
        <v>46</v>
      </c>
      <c r="E32" s="5" t="s">
        <v>38</v>
      </c>
      <c r="F32" s="2">
        <v>70</v>
      </c>
      <c r="G32" s="2">
        <v>1500</v>
      </c>
      <c r="H32" s="2" t="s">
        <v>18</v>
      </c>
      <c r="I32" s="2">
        <v>4.2699999999999996</v>
      </c>
      <c r="J32" s="2">
        <v>7</v>
      </c>
      <c r="K32" s="2">
        <v>5.25</v>
      </c>
      <c r="L32" s="2">
        <f t="shared" si="0"/>
        <v>0.52500000000000002</v>
      </c>
    </row>
    <row r="33" spans="1:12" x14ac:dyDescent="0.35">
      <c r="A33" s="3" t="s">
        <v>87</v>
      </c>
      <c r="B33" s="4" t="s">
        <v>45</v>
      </c>
      <c r="C33" s="1">
        <v>1920</v>
      </c>
      <c r="D33" s="1" t="s">
        <v>88</v>
      </c>
      <c r="E33" s="5" t="s">
        <v>89</v>
      </c>
      <c r="F33" s="2">
        <v>30</v>
      </c>
      <c r="G33" s="2">
        <v>800</v>
      </c>
      <c r="H33" s="2" t="s">
        <v>90</v>
      </c>
      <c r="I33" s="2">
        <v>4.57</v>
      </c>
      <c r="J33" s="2">
        <v>3</v>
      </c>
      <c r="K33" s="2">
        <v>5.25</v>
      </c>
      <c r="L33" s="2">
        <f t="shared" si="0"/>
        <v>0.52500000000000002</v>
      </c>
    </row>
    <row r="34" spans="1:12" x14ac:dyDescent="0.35">
      <c r="A34" s="7">
        <v>3577</v>
      </c>
      <c r="B34" s="5" t="s">
        <v>91</v>
      </c>
      <c r="C34" s="1">
        <v>15875</v>
      </c>
      <c r="D34" s="1" t="s">
        <v>88</v>
      </c>
      <c r="E34" s="5" t="s">
        <v>92</v>
      </c>
      <c r="F34" s="2">
        <v>250</v>
      </c>
      <c r="G34" s="2">
        <v>1000</v>
      </c>
      <c r="H34" s="2" t="s">
        <v>90</v>
      </c>
      <c r="I34" s="2">
        <v>4.45</v>
      </c>
      <c r="J34" s="2">
        <v>22</v>
      </c>
      <c r="K34" s="2">
        <v>5.25</v>
      </c>
      <c r="L34" s="2">
        <f t="shared" si="0"/>
        <v>0.46200000000000002</v>
      </c>
    </row>
    <row r="35" spans="1:12" x14ac:dyDescent="0.35">
      <c r="A35" s="7" t="s">
        <v>93</v>
      </c>
      <c r="B35" s="4" t="s">
        <v>94</v>
      </c>
      <c r="C35" s="1">
        <v>500</v>
      </c>
      <c r="D35" s="1" t="s">
        <v>51</v>
      </c>
      <c r="E35" s="5" t="s">
        <v>54</v>
      </c>
      <c r="F35" s="2">
        <v>25</v>
      </c>
      <c r="G35" s="2">
        <v>1000</v>
      </c>
      <c r="H35" s="2" t="s">
        <v>22</v>
      </c>
      <c r="I35" s="2">
        <v>3.25</v>
      </c>
      <c r="J35" s="2">
        <v>1</v>
      </c>
      <c r="K35" s="2">
        <v>5.25</v>
      </c>
      <c r="L35" s="2">
        <f t="shared" si="0"/>
        <v>0.21</v>
      </c>
    </row>
    <row r="36" spans="1:12" x14ac:dyDescent="0.35">
      <c r="A36" s="7" t="s">
        <v>95</v>
      </c>
      <c r="B36" s="5" t="s">
        <v>50</v>
      </c>
      <c r="C36" s="1">
        <v>22400</v>
      </c>
      <c r="D36" s="1" t="s">
        <v>20</v>
      </c>
      <c r="E36" s="5" t="s">
        <v>96</v>
      </c>
      <c r="F36" s="2">
        <v>320</v>
      </c>
      <c r="G36" s="2">
        <v>1000</v>
      </c>
      <c r="H36" s="2" t="s">
        <v>22</v>
      </c>
      <c r="I36" s="2">
        <v>4.45</v>
      </c>
      <c r="J36" s="2">
        <v>32</v>
      </c>
      <c r="K36" s="2">
        <v>5.25</v>
      </c>
      <c r="L36" s="2">
        <f t="shared" si="0"/>
        <v>0.52500000000000002</v>
      </c>
    </row>
    <row r="37" spans="1:12" x14ac:dyDescent="0.35">
      <c r="A37" s="7" t="s">
        <v>97</v>
      </c>
      <c r="B37" s="4" t="s">
        <v>98</v>
      </c>
      <c r="C37" s="1">
        <v>2940</v>
      </c>
      <c r="D37" s="1" t="s">
        <v>84</v>
      </c>
      <c r="E37" s="5" t="s">
        <v>99</v>
      </c>
      <c r="F37" s="2">
        <v>120</v>
      </c>
      <c r="G37" s="2">
        <v>1500</v>
      </c>
      <c r="H37" s="2" t="s">
        <v>27</v>
      </c>
      <c r="I37" s="2">
        <v>3.6</v>
      </c>
      <c r="J37" s="2">
        <v>3</v>
      </c>
      <c r="K37" s="2">
        <v>5.25</v>
      </c>
      <c r="L37" s="2">
        <f t="shared" si="0"/>
        <v>0.13125000000000001</v>
      </c>
    </row>
    <row r="38" spans="1:12" x14ac:dyDescent="0.35">
      <c r="A38" s="3">
        <v>3558</v>
      </c>
      <c r="B38" s="5" t="s">
        <v>100</v>
      </c>
      <c r="C38" s="1">
        <v>784</v>
      </c>
      <c r="D38" s="1" t="s">
        <v>101</v>
      </c>
      <c r="E38" s="5" t="s">
        <v>102</v>
      </c>
      <c r="F38" s="2">
        <v>14</v>
      </c>
      <c r="G38" s="2">
        <v>784</v>
      </c>
      <c r="H38" s="2" t="s">
        <v>18</v>
      </c>
      <c r="I38" s="2">
        <v>4.2699999999999996</v>
      </c>
      <c r="J38" s="2">
        <v>1</v>
      </c>
      <c r="K38" s="2">
        <v>5.25</v>
      </c>
      <c r="L38" s="2">
        <f t="shared" si="0"/>
        <v>0.375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Cálculo de custo de etiquetas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2026-08-20T19:18:13Z</dcterms:created>
  <dcterms:modified xsi:type="dcterms:W3CDTF">2026-08-20T19:20:27Z</dcterms:modified>
</cp:coreProperties>
</file>