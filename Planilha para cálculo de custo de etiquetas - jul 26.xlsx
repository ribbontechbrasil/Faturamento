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"/>
    </mc:Choice>
  </mc:AlternateContent>
  <xr:revisionPtr revIDLastSave="0" documentId="13_ncr:1_{76A5A5F1-E183-4432-A39C-FB4AC7D6E28A}" xr6:coauthVersionLast="47" xr6:coauthVersionMax="47" xr10:uidLastSave="{00000000-0000-0000-0000-000000000000}"/>
  <bookViews>
    <workbookView xWindow="-110" yWindow="-110" windowWidth="19420" windowHeight="10300" xr2:uid="{07C5F0EE-A2D4-4D74-885E-C0285FFB3F05}"/>
  </bookViews>
  <sheets>
    <sheet name="Cálculo de custo de etiquetas" sheetId="1" r:id="rId1"/>
    <sheet name="Planilha1" sheetId="2" r:id="rId2"/>
  </sheets>
  <definedNames>
    <definedName name="_xlnm._FilterDatabase" localSheetId="0" hidden="1">'Cálculo de custo de etiquetas'!$A$2:$V$2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4" i="1" l="1"/>
  <c r="U40" i="1"/>
  <c r="T38" i="1"/>
  <c r="T39" i="1"/>
  <c r="T40" i="1"/>
  <c r="T37" i="1"/>
  <c r="U39" i="1"/>
  <c r="U38" i="1"/>
  <c r="U37" i="1"/>
  <c r="D41" i="2" l="1"/>
  <c r="D10" i="2"/>
  <c r="R40" i="1"/>
  <c r="S40" i="1" s="1"/>
  <c r="W40" i="1" s="1"/>
  <c r="X40" i="1" s="1"/>
  <c r="R39" i="1"/>
  <c r="S39" i="1" s="1"/>
  <c r="W39" i="1" s="1"/>
  <c r="X39" i="1" s="1"/>
  <c r="R38" i="1"/>
  <c r="S38" i="1" s="1"/>
  <c r="W38" i="1" s="1"/>
  <c r="X38" i="1" s="1"/>
  <c r="R37" i="1"/>
  <c r="S37" i="1" s="1"/>
  <c r="W37" i="1" s="1"/>
  <c r="X37" i="1" s="1"/>
  <c r="R22" i="1" l="1"/>
  <c r="R21" i="1" l="1"/>
  <c r="R20" i="1"/>
  <c r="R27" i="1"/>
  <c r="R19" i="1" l="1"/>
  <c r="R15" i="1"/>
  <c r="R14" i="1"/>
  <c r="T3" i="1" l="1"/>
  <c r="U3" i="1"/>
  <c r="U32" i="1"/>
  <c r="U33" i="1"/>
  <c r="U35" i="1"/>
  <c r="U36" i="1"/>
  <c r="U41" i="1"/>
  <c r="U42" i="1"/>
  <c r="U25" i="1"/>
  <c r="U26" i="1"/>
  <c r="U27" i="1"/>
  <c r="U28" i="1"/>
  <c r="U29" i="1"/>
  <c r="U30" i="1"/>
  <c r="U31" i="1"/>
  <c r="U16" i="1"/>
  <c r="U17" i="1"/>
  <c r="U18" i="1"/>
  <c r="U19" i="1"/>
  <c r="U20" i="1"/>
  <c r="U21" i="1"/>
  <c r="U22" i="1"/>
  <c r="U23" i="1"/>
  <c r="U24" i="1"/>
  <c r="U7" i="1"/>
  <c r="U8" i="1"/>
  <c r="U9" i="1"/>
  <c r="U10" i="1"/>
  <c r="U11" i="1"/>
  <c r="U12" i="1"/>
  <c r="U13" i="1"/>
  <c r="U14" i="1"/>
  <c r="U15" i="1"/>
  <c r="U4" i="1"/>
  <c r="U5" i="1"/>
  <c r="U6" i="1"/>
  <c r="T35" i="1"/>
  <c r="T36" i="1"/>
  <c r="T41" i="1"/>
  <c r="T42" i="1"/>
  <c r="T30" i="1"/>
  <c r="T31" i="1"/>
  <c r="T32" i="1"/>
  <c r="T33" i="1"/>
  <c r="T34" i="1"/>
  <c r="T24" i="1"/>
  <c r="T25" i="1"/>
  <c r="T26" i="1"/>
  <c r="T27" i="1"/>
  <c r="T28" i="1"/>
  <c r="T29" i="1"/>
  <c r="T16" i="1"/>
  <c r="T17" i="1"/>
  <c r="T18" i="1"/>
  <c r="T19" i="1"/>
  <c r="T20" i="1"/>
  <c r="T21" i="1"/>
  <c r="T22" i="1"/>
  <c r="T23" i="1"/>
  <c r="T10" i="1"/>
  <c r="T11" i="1"/>
  <c r="T12" i="1"/>
  <c r="T13" i="1"/>
  <c r="T14" i="1"/>
  <c r="T15" i="1"/>
  <c r="T5" i="1"/>
  <c r="T6" i="1"/>
  <c r="T7" i="1"/>
  <c r="T8" i="1"/>
  <c r="T9" i="1"/>
  <c r="T4" i="1"/>
  <c r="R13" i="1"/>
  <c r="R9" i="1"/>
  <c r="R6" i="1"/>
  <c r="R5" i="1"/>
  <c r="R3" i="1" l="1"/>
  <c r="R32" i="1" l="1"/>
  <c r="S32" i="1" s="1"/>
  <c r="R36" i="1"/>
  <c r="S36" i="1" s="1"/>
  <c r="R34" i="1"/>
  <c r="S34" i="1" s="1"/>
  <c r="R33" i="1"/>
  <c r="S33" i="1" s="1"/>
  <c r="R35" i="1"/>
  <c r="S35" i="1" s="1"/>
  <c r="R41" i="1"/>
  <c r="R42" i="1"/>
  <c r="S42" i="1" s="1"/>
  <c r="R16" i="1"/>
  <c r="S16" i="1" s="1"/>
  <c r="R17" i="1"/>
  <c r="S17" i="1" s="1"/>
  <c r="R18" i="1"/>
  <c r="S18" i="1" s="1"/>
  <c r="S19" i="1"/>
  <c r="S20" i="1"/>
  <c r="S21" i="1"/>
  <c r="S22" i="1"/>
  <c r="R23" i="1"/>
  <c r="S23" i="1" s="1"/>
  <c r="R24" i="1"/>
  <c r="S24" i="1" s="1"/>
  <c r="R25" i="1"/>
  <c r="S25" i="1" s="1"/>
  <c r="R26" i="1"/>
  <c r="S26" i="1" s="1"/>
  <c r="S27" i="1"/>
  <c r="R28" i="1"/>
  <c r="S28" i="1" s="1"/>
  <c r="R29" i="1"/>
  <c r="S29" i="1" s="1"/>
  <c r="R30" i="1"/>
  <c r="S30" i="1" s="1"/>
  <c r="R31" i="1"/>
  <c r="S31" i="1" s="1"/>
  <c r="S6" i="1"/>
  <c r="R7" i="1"/>
  <c r="S7" i="1" s="1"/>
  <c r="R8" i="1"/>
  <c r="S8" i="1" s="1"/>
  <c r="S9" i="1"/>
  <c r="R10" i="1"/>
  <c r="R11" i="1"/>
  <c r="S11" i="1" s="1"/>
  <c r="R12" i="1"/>
  <c r="S12" i="1" s="1"/>
  <c r="S13" i="1"/>
  <c r="S14" i="1"/>
  <c r="S15" i="1"/>
  <c r="R4" i="1"/>
  <c r="S4" i="1" s="1"/>
  <c r="S5" i="1"/>
  <c r="W14" i="1" l="1"/>
  <c r="W6" i="1"/>
  <c r="X6" i="1" s="1"/>
  <c r="W30" i="1"/>
  <c r="W29" i="1"/>
  <c r="W35" i="1"/>
  <c r="W28" i="1"/>
  <c r="W20" i="1"/>
  <c r="W33" i="1"/>
  <c r="W27" i="1"/>
  <c r="W15" i="1"/>
  <c r="W7" i="1"/>
  <c r="X7" i="1" s="1"/>
  <c r="W5" i="1"/>
  <c r="W9" i="1"/>
  <c r="W4" i="1"/>
  <c r="W8" i="1"/>
  <c r="W21" i="1"/>
  <c r="W26" i="1"/>
  <c r="W17" i="1"/>
  <c r="W36" i="1"/>
  <c r="W25" i="1"/>
  <c r="W22" i="1"/>
  <c r="W11" i="1"/>
  <c r="W19" i="1"/>
  <c r="W34" i="1"/>
  <c r="W18" i="1"/>
  <c r="W32" i="1"/>
  <c r="W24" i="1"/>
  <c r="W16" i="1"/>
  <c r="W13" i="1"/>
  <c r="W31" i="1"/>
  <c r="W23" i="1"/>
  <c r="W42" i="1"/>
  <c r="W12" i="1"/>
  <c r="S3" i="1"/>
  <c r="L41" i="1"/>
  <c r="S41" i="1" s="1"/>
  <c r="L10" i="1"/>
  <c r="S10" i="1" s="1"/>
  <c r="X25" i="1" l="1"/>
  <c r="X5" i="1"/>
  <c r="X33" i="1"/>
  <c r="X29" i="1"/>
  <c r="X24" i="1"/>
  <c r="X36" i="1"/>
  <c r="X17" i="1"/>
  <c r="X20" i="1"/>
  <c r="X30" i="1"/>
  <c r="X9" i="1"/>
  <c r="W3" i="1"/>
  <c r="X3" i="1" s="1"/>
  <c r="X12" i="1"/>
  <c r="X32" i="1"/>
  <c r="X42" i="1"/>
  <c r="X23" i="1"/>
  <c r="X18" i="1"/>
  <c r="X26" i="1"/>
  <c r="X31" i="1"/>
  <c r="X34" i="1"/>
  <c r="X21" i="1"/>
  <c r="X15" i="1"/>
  <c r="X28" i="1"/>
  <c r="X13" i="1"/>
  <c r="X19" i="1"/>
  <c r="X8" i="1"/>
  <c r="X16" i="1"/>
  <c r="X11" i="1"/>
  <c r="X4" i="1"/>
  <c r="X27" i="1"/>
  <c r="X35" i="1"/>
  <c r="X14" i="1"/>
  <c r="X22" i="1"/>
  <c r="W41" i="1"/>
  <c r="W10" i="1"/>
  <c r="X10" i="1" l="1"/>
  <c r="X41" i="1"/>
</calcChain>
</file>

<file path=xl/sharedStrings.xml><?xml version="1.0" encoding="utf-8"?>
<sst xmlns="http://schemas.openxmlformats.org/spreadsheetml/2006/main" count="464" uniqueCount="114">
  <si>
    <t>NF</t>
  </si>
  <si>
    <t>Cliente</t>
  </si>
  <si>
    <t>metragem do rolo - m</t>
  </si>
  <si>
    <t>dimensões</t>
  </si>
  <si>
    <t>Material</t>
  </si>
  <si>
    <t>quantidade etiquetas por rolo</t>
  </si>
  <si>
    <t>tipo tubete</t>
  </si>
  <si>
    <t>custo embalagem por rolo</t>
  </si>
  <si>
    <t>EMIS - BOPP T3</t>
  </si>
  <si>
    <t>51 X 51</t>
  </si>
  <si>
    <t>BOPP PROTACK 120 X 1000 AP725</t>
  </si>
  <si>
    <t>3 x 56</t>
  </si>
  <si>
    <t xml:space="preserve">100 x 30 </t>
  </si>
  <si>
    <t>3 x 106</t>
  </si>
  <si>
    <t>EMIS - COUCHE T1</t>
  </si>
  <si>
    <t>100 X 70</t>
  </si>
  <si>
    <t>COUCHE COLACRIL 212 x 1500 ADC5240</t>
  </si>
  <si>
    <t>1 x 106</t>
  </si>
  <si>
    <t>EMIS - COUCHE T3</t>
  </si>
  <si>
    <t>IPSEMG</t>
  </si>
  <si>
    <t>100 X 85</t>
  </si>
  <si>
    <t>48 X 33</t>
  </si>
  <si>
    <t>1 x 56</t>
  </si>
  <si>
    <t>SIBELE ALIMENTOS</t>
  </si>
  <si>
    <t>100 X 130</t>
  </si>
  <si>
    <t>BOPP PROTACK 120 x 1000 AP725</t>
  </si>
  <si>
    <t>SANTA CRUZ ACABAMENTOS</t>
  </si>
  <si>
    <t>100 x 50</t>
  </si>
  <si>
    <t>COUCHE COLACRIL 110 X 1500 ADC5240</t>
  </si>
  <si>
    <t>LONAX</t>
  </si>
  <si>
    <t>100 X 100</t>
  </si>
  <si>
    <t>BOPP PROTACK 212 X 1000 AP718</t>
  </si>
  <si>
    <t>VITAMINAS</t>
  </si>
  <si>
    <t xml:space="preserve">COUCHE COLACRIL 110 X 1500 ADC5240 </t>
  </si>
  <si>
    <t>1 x 110</t>
  </si>
  <si>
    <t>BASE</t>
  </si>
  <si>
    <t>100 X 50</t>
  </si>
  <si>
    <t>INJEX ROSA</t>
  </si>
  <si>
    <t>FRIGORIFICO ATALAIA</t>
  </si>
  <si>
    <t>100 X 40</t>
  </si>
  <si>
    <t>BOPP PROTACK AP725</t>
  </si>
  <si>
    <t>NUTRISANTOS COUCHE</t>
  </si>
  <si>
    <t>COUCHE FASSON 212 X 1000 S2045</t>
  </si>
  <si>
    <t>NUTRISANTOS BOPP</t>
  </si>
  <si>
    <t>100 X 150</t>
  </si>
  <si>
    <t>Vetor Distribuidora</t>
  </si>
  <si>
    <t>FIGUEIREDO SM</t>
  </si>
  <si>
    <t>100 X 80</t>
  </si>
  <si>
    <t>IRMANDADE NOSSA SENHORA DAS DORES</t>
  </si>
  <si>
    <t>100 X 75</t>
  </si>
  <si>
    <t>COUCHE FASSON 212 x 1000 S2045</t>
  </si>
  <si>
    <t>EXPEDIDO - EI BELEZA</t>
  </si>
  <si>
    <t xml:space="preserve">COUCHE COLACRIL 212 x 1500 ADC5240 </t>
  </si>
  <si>
    <t>AUTOLOG VERMELHA</t>
  </si>
  <si>
    <t>100 x 100</t>
  </si>
  <si>
    <t>INJEX VERMELHA</t>
  </si>
  <si>
    <t>INJEX</t>
  </si>
  <si>
    <t>50 X 40 X 2</t>
  </si>
  <si>
    <t xml:space="preserve">COUCHE COLACRIL 110 x 1500 ADC5240 </t>
  </si>
  <si>
    <t>INJEX AZUL</t>
  </si>
  <si>
    <t>DIAGNOSTICA NOVA LIMA</t>
  </si>
  <si>
    <t>90 X 60</t>
  </si>
  <si>
    <t>1 x 96</t>
  </si>
  <si>
    <t>LABICON - TRINDADE</t>
  </si>
  <si>
    <t>50 X 30</t>
  </si>
  <si>
    <t>LABICON LARANJA</t>
  </si>
  <si>
    <t>REFILE QUE TINHA NO ESTOQUE</t>
  </si>
  <si>
    <t>80 X 125</t>
  </si>
  <si>
    <t>BOPP COLACRIL 172 X 2000 ADC3000</t>
  </si>
  <si>
    <t>3 x 86</t>
  </si>
  <si>
    <t>FRANCAP</t>
  </si>
  <si>
    <t>BOPP PROTACK 172 X 1000 AP725</t>
  </si>
  <si>
    <t>TRIUNFO</t>
  </si>
  <si>
    <t>BOPP PROTACK 110 X 1000 AP725</t>
  </si>
  <si>
    <t>LABORCLINICA</t>
  </si>
  <si>
    <t>TERMICO 110 X 1000 HM2520</t>
  </si>
  <si>
    <t>frete</t>
  </si>
  <si>
    <t>nr. rolos</t>
  </si>
  <si>
    <t>Largura</t>
  </si>
  <si>
    <t>Altura</t>
  </si>
  <si>
    <t>BOPP</t>
  </si>
  <si>
    <t>Couche</t>
  </si>
  <si>
    <t>AP718</t>
  </si>
  <si>
    <t>AP725</t>
  </si>
  <si>
    <t>ESTOQUE</t>
  </si>
  <si>
    <t>S2045</t>
  </si>
  <si>
    <t>ADC5240</t>
  </si>
  <si>
    <t>ADC3000</t>
  </si>
  <si>
    <t>PROTACK</t>
  </si>
  <si>
    <t>FASSON</t>
  </si>
  <si>
    <t>COLACRIL</t>
  </si>
  <si>
    <t>matéria prima</t>
  </si>
  <si>
    <t>Fabricante matéria prima</t>
  </si>
  <si>
    <t>Referência</t>
  </si>
  <si>
    <t>Térmico</t>
  </si>
  <si>
    <t>área etiqueta</t>
  </si>
  <si>
    <t>Custo por rolo</t>
  </si>
  <si>
    <t>Custo frete por rolo</t>
  </si>
  <si>
    <t>custo Tubete</t>
  </si>
  <si>
    <t>Embalagem</t>
  </si>
  <si>
    <t>Custo Final</t>
  </si>
  <si>
    <t>MP, Bem, frete, tubete</t>
  </si>
  <si>
    <t>FRIVASA</t>
  </si>
  <si>
    <t>50 x 235</t>
  </si>
  <si>
    <t>50 x 200 x 2</t>
  </si>
  <si>
    <t>86 x 165</t>
  </si>
  <si>
    <t>102 x 197</t>
  </si>
  <si>
    <t>3 x 110</t>
  </si>
  <si>
    <t>3 x 96</t>
  </si>
  <si>
    <t>205 x 104</t>
  </si>
  <si>
    <t>BOPP PROTACK 214 x 1000 AP725</t>
  </si>
  <si>
    <t>BOPP PROTACK 110 x 1000 AP725</t>
  </si>
  <si>
    <t>HM 2520</t>
  </si>
  <si>
    <t>Custo Embalagem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</si>
</sst>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_-* #,##0.0000_-;\-* #,##0.0000_-;_-* &quot;-&quot;??_-;_-@_-"/>
    <numFmt numFmtId="166" formatCode="_-* #,##0.00000000_-;\-* #,##0.000000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1" xfId="2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43" fontId="0" fillId="0" borderId="1" xfId="1" applyFont="1" applyBorder="1"/>
    <xf numFmtId="0" fontId="3" fillId="0" borderId="1" xfId="2" applyFill="1" applyBorder="1" applyAlignment="1">
      <alignment horizontal="center"/>
    </xf>
    <xf numFmtId="43" fontId="0" fillId="0" borderId="1" xfId="1" applyFont="1" applyFill="1" applyBorder="1"/>
    <xf numFmtId="43" fontId="0" fillId="0" borderId="0" xfId="1" applyFont="1"/>
    <xf numFmtId="164" fontId="0" fillId="0" borderId="1" xfId="1" applyNumberFormat="1" applyFont="1" applyBorder="1"/>
    <xf numFmtId="0" fontId="0" fillId="0" borderId="1" xfId="0" applyFill="1" applyBorder="1"/>
    <xf numFmtId="166" fontId="0" fillId="0" borderId="1" xfId="1" applyNumberFormat="1" applyFont="1" applyBorder="1"/>
    <xf numFmtId="43" fontId="0" fillId="0" borderId="1" xfId="0" applyNumberFormat="1" applyBorder="1"/>
    <xf numFmtId="43" fontId="0" fillId="2" borderId="1" xfId="0" applyNumberFormat="1" applyFill="1" applyBorder="1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/>
    <xf numFmtId="43" fontId="0" fillId="3" borderId="1" xfId="1" applyFont="1" applyFill="1" applyBorder="1"/>
    <xf numFmtId="165" fontId="0" fillId="3" borderId="1" xfId="1" applyNumberFormat="1" applyFont="1" applyFill="1" applyBorder="1"/>
    <xf numFmtId="0" fontId="0" fillId="0" borderId="0" xfId="0" applyAlignment="1">
      <alignment horizontal="center"/>
    </xf>
    <xf numFmtId="0" fontId="0" fillId="4" borderId="1" xfId="0" applyFill="1" applyBorder="1"/>
    <xf numFmtId="0" fontId="0" fillId="0" borderId="2" xfId="0" applyFill="1" applyBorder="1" applyAlignment="1">
      <alignment horizontal="center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E1F54-E856-4319-801F-1BC8D092E894}">
  <dimension ref="A1:X42"/>
  <sheetViews>
    <sheetView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X1" sqref="X1"/>
    </sheetView>
  </sheetViews>
  <sheetFormatPr defaultRowHeight="14.5" x14ac:dyDescent="0.35"/>
  <cols>
    <col min="1" max="1" width="14.1796875" customWidth="1"/>
    <col min="2" max="2" width="36.453125" bestFit="1" customWidth="1"/>
    <col min="3" max="3" width="20.453125" customWidth="1"/>
    <col min="4" max="9" width="14.08984375" customWidth="1"/>
    <col min="10" max="10" width="34.1796875" customWidth="1"/>
    <col min="11" max="11" width="16.81640625" customWidth="1"/>
    <col min="12" max="12" width="26.08984375" customWidth="1"/>
    <col min="13" max="13" width="10" customWidth="1"/>
    <col min="14" max="14" width="15.6328125" customWidth="1"/>
    <col min="15" max="15" width="11.54296875" customWidth="1"/>
    <col min="16" max="16" width="18.453125" customWidth="1"/>
    <col min="17" max="17" width="8.7265625" style="9" customWidth="1"/>
    <col min="18" max="18" width="11.54296875" customWidth="1"/>
    <col min="19" max="19" width="14.81640625" customWidth="1"/>
    <col min="20" max="20" width="21.90625" bestFit="1" customWidth="1"/>
    <col min="21" max="21" width="15.90625" customWidth="1"/>
    <col min="22" max="22" width="11.26953125" bestFit="1" customWidth="1"/>
    <col min="23" max="23" width="19.54296875" customWidth="1"/>
  </cols>
  <sheetData>
    <row r="1" spans="1:24" x14ac:dyDescent="0.35">
      <c r="W1" s="20"/>
    </row>
    <row r="2" spans="1:24" x14ac:dyDescent="0.35">
      <c r="A2" s="1" t="s">
        <v>0</v>
      </c>
      <c r="B2" s="2" t="s">
        <v>1</v>
      </c>
      <c r="C2" s="2" t="s">
        <v>2</v>
      </c>
      <c r="D2" s="2" t="s">
        <v>3</v>
      </c>
      <c r="E2" s="2" t="s">
        <v>78</v>
      </c>
      <c r="F2" s="2" t="s">
        <v>79</v>
      </c>
      <c r="G2" s="2" t="s">
        <v>91</v>
      </c>
      <c r="H2" s="2" t="s">
        <v>93</v>
      </c>
      <c r="I2" s="2" t="s">
        <v>92</v>
      </c>
      <c r="J2" s="2" t="s">
        <v>4</v>
      </c>
      <c r="K2" s="2" t="s">
        <v>77</v>
      </c>
      <c r="L2" s="2" t="s">
        <v>5</v>
      </c>
      <c r="M2" s="2" t="s">
        <v>6</v>
      </c>
      <c r="N2" s="21" t="s">
        <v>91</v>
      </c>
      <c r="O2" s="2" t="s">
        <v>99</v>
      </c>
      <c r="P2" s="2" t="s">
        <v>113</v>
      </c>
      <c r="Q2" s="8" t="s">
        <v>76</v>
      </c>
      <c r="R2" s="11" t="s">
        <v>95</v>
      </c>
      <c r="S2" s="17" t="s">
        <v>96</v>
      </c>
      <c r="T2" s="17" t="s">
        <v>7</v>
      </c>
      <c r="U2" s="17" t="s">
        <v>97</v>
      </c>
      <c r="V2" s="17" t="s">
        <v>98</v>
      </c>
      <c r="W2" s="2" t="s">
        <v>101</v>
      </c>
      <c r="X2" s="11" t="s">
        <v>100</v>
      </c>
    </row>
    <row r="3" spans="1:24" x14ac:dyDescent="0.35">
      <c r="A3" s="7">
        <v>3572</v>
      </c>
      <c r="B3" s="5" t="s">
        <v>43</v>
      </c>
      <c r="C3" s="1">
        <v>2625</v>
      </c>
      <c r="D3" s="1" t="s">
        <v>36</v>
      </c>
      <c r="E3" s="1">
        <v>100</v>
      </c>
      <c r="F3" s="1">
        <v>50</v>
      </c>
      <c r="G3" s="1" t="s">
        <v>80</v>
      </c>
      <c r="H3" s="1" t="s">
        <v>82</v>
      </c>
      <c r="I3" s="1" t="s">
        <v>88</v>
      </c>
      <c r="J3" s="5" t="s">
        <v>31</v>
      </c>
      <c r="K3" s="2">
        <v>70</v>
      </c>
      <c r="L3" s="2">
        <v>1500</v>
      </c>
      <c r="M3" s="2" t="s">
        <v>13</v>
      </c>
      <c r="N3" s="21">
        <v>4.2699999999999996</v>
      </c>
      <c r="O3" s="2">
        <v>7</v>
      </c>
      <c r="P3" s="2">
        <v>5.25</v>
      </c>
      <c r="Q3" s="10">
        <v>0</v>
      </c>
      <c r="R3" s="12">
        <f>((E3+6)*(F3+3))/1000000</f>
        <v>5.6179999999999997E-3</v>
      </c>
      <c r="S3" s="18">
        <f t="shared" ref="S3:S42" si="0">R3*N3*L3</f>
        <v>35.983289999999997</v>
      </c>
      <c r="T3" s="19">
        <f t="shared" ref="T3:T42" si="1">O3*P3/K3</f>
        <v>0.52500000000000002</v>
      </c>
      <c r="U3" s="18">
        <f t="shared" ref="U3:U42" si="2">Q3/K3</f>
        <v>0</v>
      </c>
      <c r="V3" s="17">
        <v>1.3945000000000001</v>
      </c>
      <c r="W3" s="14">
        <f>SUM(S3,T3,U3,V3)</f>
        <v>37.902789999999996</v>
      </c>
      <c r="X3" s="14">
        <f>W3/0.908</f>
        <v>41.743160792951535</v>
      </c>
    </row>
    <row r="4" spans="1:24" x14ac:dyDescent="0.35">
      <c r="A4" s="7">
        <v>3577</v>
      </c>
      <c r="B4" s="5" t="s">
        <v>70</v>
      </c>
      <c r="C4" s="1">
        <v>15875</v>
      </c>
      <c r="D4" s="1" t="s">
        <v>67</v>
      </c>
      <c r="E4" s="1">
        <v>80</v>
      </c>
      <c r="F4" s="1">
        <v>125</v>
      </c>
      <c r="G4" s="1" t="s">
        <v>80</v>
      </c>
      <c r="H4" s="1" t="s">
        <v>83</v>
      </c>
      <c r="I4" s="1" t="s">
        <v>88</v>
      </c>
      <c r="J4" s="5" t="s">
        <v>71</v>
      </c>
      <c r="K4" s="2">
        <v>250</v>
      </c>
      <c r="L4" s="2">
        <v>1000</v>
      </c>
      <c r="M4" s="2" t="s">
        <v>69</v>
      </c>
      <c r="N4" s="21">
        <v>4.45</v>
      </c>
      <c r="O4" s="2">
        <v>22</v>
      </c>
      <c r="P4" s="2">
        <v>5.25</v>
      </c>
      <c r="Q4" s="6">
        <v>140</v>
      </c>
      <c r="R4" s="12">
        <f>((E4+6)*(F4+3))/1000000</f>
        <v>1.1008E-2</v>
      </c>
      <c r="S4" s="18">
        <f t="shared" si="0"/>
        <v>48.985600000000005</v>
      </c>
      <c r="T4" s="19">
        <f t="shared" si="1"/>
        <v>0.46200000000000002</v>
      </c>
      <c r="U4" s="18">
        <f t="shared" si="2"/>
        <v>0.56000000000000005</v>
      </c>
      <c r="V4" s="17">
        <v>1.1276999999999999</v>
      </c>
      <c r="W4" s="14">
        <f t="shared" ref="W4:W42" si="3">SUM(S4,T4,U4,V4)</f>
        <v>51.135300000000008</v>
      </c>
      <c r="X4" s="14">
        <f t="shared" ref="X4:X42" si="4">W4/0.908</f>
        <v>56.316409691629964</v>
      </c>
    </row>
    <row r="5" spans="1:24" x14ac:dyDescent="0.35">
      <c r="A5" s="7">
        <v>3579</v>
      </c>
      <c r="B5" s="5" t="s">
        <v>63</v>
      </c>
      <c r="C5" s="1">
        <v>1900</v>
      </c>
      <c r="D5" s="1" t="s">
        <v>64</v>
      </c>
      <c r="E5" s="1">
        <v>50</v>
      </c>
      <c r="F5" s="1">
        <v>31</v>
      </c>
      <c r="G5" s="1" t="s">
        <v>80</v>
      </c>
      <c r="H5" s="1" t="s">
        <v>82</v>
      </c>
      <c r="I5" s="1" t="s">
        <v>88</v>
      </c>
      <c r="J5" s="5" t="s">
        <v>31</v>
      </c>
      <c r="K5" s="2">
        <v>130</v>
      </c>
      <c r="L5" s="2">
        <v>1200</v>
      </c>
      <c r="M5" s="2" t="s">
        <v>22</v>
      </c>
      <c r="N5" s="21">
        <v>4.2699999999999996</v>
      </c>
      <c r="O5" s="2">
        <v>5</v>
      </c>
      <c r="P5" s="2">
        <v>5.25</v>
      </c>
      <c r="Q5" s="6">
        <v>15</v>
      </c>
      <c r="R5" s="12">
        <f>((E5+6)*(F5+3.57))/1000000</f>
        <v>1.93592E-3</v>
      </c>
      <c r="S5" s="18">
        <f t="shared" si="0"/>
        <v>9.919654079999999</v>
      </c>
      <c r="T5" s="19">
        <f t="shared" si="1"/>
        <v>0.20192307692307693</v>
      </c>
      <c r="U5" s="18">
        <f t="shared" si="2"/>
        <v>0.11538461538461539</v>
      </c>
      <c r="V5" s="17">
        <v>0.1958</v>
      </c>
      <c r="W5" s="14">
        <f t="shared" si="3"/>
        <v>10.432761772307691</v>
      </c>
      <c r="X5" s="14">
        <f t="shared" si="4"/>
        <v>11.489825740426973</v>
      </c>
    </row>
    <row r="6" spans="1:24" x14ac:dyDescent="0.35">
      <c r="A6" s="7">
        <v>3579</v>
      </c>
      <c r="B6" s="5" t="s">
        <v>65</v>
      </c>
      <c r="C6" s="1">
        <v>585</v>
      </c>
      <c r="D6" s="1" t="s">
        <v>64</v>
      </c>
      <c r="E6" s="1">
        <v>50</v>
      </c>
      <c r="F6" s="1">
        <v>31</v>
      </c>
      <c r="G6" s="1" t="s">
        <v>80</v>
      </c>
      <c r="H6" s="1" t="s">
        <v>84</v>
      </c>
      <c r="I6" s="1" t="s">
        <v>88</v>
      </c>
      <c r="J6" s="5" t="s">
        <v>66</v>
      </c>
      <c r="K6" s="2">
        <v>15</v>
      </c>
      <c r="L6" s="2">
        <v>1200</v>
      </c>
      <c r="M6" s="2" t="s">
        <v>22</v>
      </c>
      <c r="N6" s="21">
        <v>4.2699999999999996</v>
      </c>
      <c r="O6" s="2">
        <v>1</v>
      </c>
      <c r="P6" s="2">
        <v>5.25</v>
      </c>
      <c r="Q6" s="6">
        <v>10</v>
      </c>
      <c r="R6" s="12">
        <f>((E6+6)*(F6+3.57))/1000000</f>
        <v>1.93592E-3</v>
      </c>
      <c r="S6" s="18">
        <f t="shared" si="0"/>
        <v>9.919654079999999</v>
      </c>
      <c r="T6" s="19">
        <f t="shared" si="1"/>
        <v>0.35</v>
      </c>
      <c r="U6" s="18">
        <f t="shared" si="2"/>
        <v>0.66666666666666663</v>
      </c>
      <c r="V6" s="17">
        <v>0.1958</v>
      </c>
      <c r="W6" s="14">
        <f t="shared" si="3"/>
        <v>11.132120746666665</v>
      </c>
      <c r="X6" s="14">
        <f t="shared" si="4"/>
        <v>12.260044875183551</v>
      </c>
    </row>
    <row r="7" spans="1:24" x14ac:dyDescent="0.35">
      <c r="A7" s="3">
        <v>3583</v>
      </c>
      <c r="B7" s="5" t="s">
        <v>48</v>
      </c>
      <c r="C7" s="1">
        <v>2100</v>
      </c>
      <c r="D7" s="1" t="s">
        <v>49</v>
      </c>
      <c r="E7" s="1">
        <v>100</v>
      </c>
      <c r="F7" s="1">
        <v>75</v>
      </c>
      <c r="G7" s="1" t="s">
        <v>81</v>
      </c>
      <c r="H7" s="1" t="s">
        <v>85</v>
      </c>
      <c r="I7" s="1" t="s">
        <v>89</v>
      </c>
      <c r="J7" s="5" t="s">
        <v>50</v>
      </c>
      <c r="K7" s="2">
        <v>150</v>
      </c>
      <c r="L7" s="2">
        <v>358</v>
      </c>
      <c r="M7" s="2" t="s">
        <v>17</v>
      </c>
      <c r="N7" s="21">
        <v>3.25</v>
      </c>
      <c r="O7" s="2">
        <v>4</v>
      </c>
      <c r="P7" s="2">
        <v>5.25</v>
      </c>
      <c r="Q7" s="10">
        <v>0</v>
      </c>
      <c r="R7" s="12">
        <f>((E7+6)*(F7+3))/1000000</f>
        <v>8.2679999999999993E-3</v>
      </c>
      <c r="S7" s="18">
        <f t="shared" si="0"/>
        <v>9.6198180000000004</v>
      </c>
      <c r="T7" s="19">
        <f t="shared" si="1"/>
        <v>0.14000000000000001</v>
      </c>
      <c r="U7" s="18">
        <f t="shared" si="2"/>
        <v>0</v>
      </c>
      <c r="V7" s="17">
        <v>0.3594</v>
      </c>
      <c r="W7" s="14">
        <f t="shared" si="3"/>
        <v>10.119218000000002</v>
      </c>
      <c r="X7" s="14">
        <f t="shared" si="4"/>
        <v>11.144513215859032</v>
      </c>
    </row>
    <row r="8" spans="1:24" x14ac:dyDescent="0.35">
      <c r="A8" s="3">
        <v>3587</v>
      </c>
      <c r="B8" s="5" t="s">
        <v>41</v>
      </c>
      <c r="C8" s="1">
        <v>1250</v>
      </c>
      <c r="D8" s="1" t="s">
        <v>36</v>
      </c>
      <c r="E8" s="1">
        <v>100</v>
      </c>
      <c r="F8" s="1">
        <v>50</v>
      </c>
      <c r="G8" s="1" t="s">
        <v>81</v>
      </c>
      <c r="H8" s="1" t="s">
        <v>85</v>
      </c>
      <c r="I8" s="1" t="s">
        <v>89</v>
      </c>
      <c r="J8" s="5" t="s">
        <v>42</v>
      </c>
      <c r="K8" s="2">
        <v>50</v>
      </c>
      <c r="L8" s="2">
        <v>1000</v>
      </c>
      <c r="M8" s="2" t="s">
        <v>17</v>
      </c>
      <c r="N8" s="21">
        <v>3.25</v>
      </c>
      <c r="O8" s="2">
        <v>3</v>
      </c>
      <c r="P8" s="2">
        <v>5.25</v>
      </c>
      <c r="Q8" s="10">
        <v>0</v>
      </c>
      <c r="R8" s="12">
        <f>((E8+6)*(F8+3))/1000000</f>
        <v>5.6179999999999997E-3</v>
      </c>
      <c r="S8" s="18">
        <f t="shared" si="0"/>
        <v>18.258500000000002</v>
      </c>
      <c r="T8" s="19">
        <f t="shared" si="1"/>
        <v>0.315</v>
      </c>
      <c r="U8" s="18">
        <f t="shared" si="2"/>
        <v>0</v>
      </c>
      <c r="V8" s="17">
        <v>0.3594</v>
      </c>
      <c r="W8" s="14">
        <f t="shared" si="3"/>
        <v>18.932900000000004</v>
      </c>
      <c r="X8" s="14">
        <f t="shared" si="4"/>
        <v>20.851211453744497</v>
      </c>
    </row>
    <row r="9" spans="1:24" x14ac:dyDescent="0.35">
      <c r="A9" s="3">
        <v>3588</v>
      </c>
      <c r="B9" s="5" t="s">
        <v>43</v>
      </c>
      <c r="C9" s="1">
        <v>6750</v>
      </c>
      <c r="D9" s="1" t="s">
        <v>44</v>
      </c>
      <c r="E9" s="1">
        <v>100</v>
      </c>
      <c r="F9" s="1">
        <v>151</v>
      </c>
      <c r="G9" s="1" t="s">
        <v>80</v>
      </c>
      <c r="H9" s="1" t="s">
        <v>82</v>
      </c>
      <c r="I9" s="1" t="s">
        <v>88</v>
      </c>
      <c r="J9" s="5" t="s">
        <v>31</v>
      </c>
      <c r="K9" s="2">
        <v>60</v>
      </c>
      <c r="L9" s="2">
        <v>1500</v>
      </c>
      <c r="M9" s="2" t="s">
        <v>13</v>
      </c>
      <c r="N9" s="21">
        <v>4.2699999999999996</v>
      </c>
      <c r="O9" s="2">
        <v>15</v>
      </c>
      <c r="P9" s="2">
        <v>5.25</v>
      </c>
      <c r="Q9" s="10">
        <v>0</v>
      </c>
      <c r="R9" s="12">
        <f>((E9+6)*(F9+4.57))/1000000</f>
        <v>1.6490419999999999E-2</v>
      </c>
      <c r="S9" s="18">
        <f t="shared" si="0"/>
        <v>105.62114009999998</v>
      </c>
      <c r="T9" s="19">
        <f t="shared" si="1"/>
        <v>1.3125</v>
      </c>
      <c r="U9" s="18">
        <f t="shared" si="2"/>
        <v>0</v>
      </c>
      <c r="V9" s="17">
        <v>1.3945000000000001</v>
      </c>
      <c r="W9" s="14">
        <f t="shared" si="3"/>
        <v>108.32814009999997</v>
      </c>
      <c r="X9" s="14">
        <f t="shared" si="4"/>
        <v>119.3041190528634</v>
      </c>
    </row>
    <row r="10" spans="1:24" x14ac:dyDescent="0.35">
      <c r="A10" s="3">
        <v>3592</v>
      </c>
      <c r="B10" s="5" t="s">
        <v>29</v>
      </c>
      <c r="C10" s="1">
        <v>600</v>
      </c>
      <c r="D10" s="1" t="s">
        <v>30</v>
      </c>
      <c r="E10" s="1">
        <v>100</v>
      </c>
      <c r="F10" s="1">
        <v>100</v>
      </c>
      <c r="G10" s="1" t="s">
        <v>80</v>
      </c>
      <c r="H10" s="1" t="s">
        <v>82</v>
      </c>
      <c r="I10" s="1" t="s">
        <v>88</v>
      </c>
      <c r="J10" s="5" t="s">
        <v>31</v>
      </c>
      <c r="K10" s="2">
        <v>40</v>
      </c>
      <c r="L10" s="6">
        <f>30000/103</f>
        <v>291.26213592233012</v>
      </c>
      <c r="M10" s="2" t="s">
        <v>17</v>
      </c>
      <c r="N10" s="21">
        <v>4.2699999999999996</v>
      </c>
      <c r="O10" s="2">
        <v>1</v>
      </c>
      <c r="P10" s="2">
        <v>5.25</v>
      </c>
      <c r="Q10" s="6">
        <v>59.34</v>
      </c>
      <c r="R10" s="12">
        <f>((E10+6)*(F10+3))/1000000</f>
        <v>1.0918000000000001E-2</v>
      </c>
      <c r="S10" s="18">
        <f t="shared" si="0"/>
        <v>13.5786</v>
      </c>
      <c r="T10" s="19">
        <f t="shared" si="1"/>
        <v>0.13125000000000001</v>
      </c>
      <c r="U10" s="18">
        <f t="shared" si="2"/>
        <v>1.4835</v>
      </c>
      <c r="V10" s="17">
        <v>0.3594</v>
      </c>
      <c r="W10" s="14">
        <f t="shared" si="3"/>
        <v>15.55275</v>
      </c>
      <c r="X10" s="14">
        <f t="shared" si="4"/>
        <v>17.128579295154186</v>
      </c>
    </row>
    <row r="11" spans="1:24" x14ac:dyDescent="0.35">
      <c r="A11" s="3">
        <v>3595</v>
      </c>
      <c r="B11" s="5" t="s">
        <v>19</v>
      </c>
      <c r="C11" s="1">
        <v>440</v>
      </c>
      <c r="D11" s="1" t="s">
        <v>20</v>
      </c>
      <c r="E11" s="1">
        <v>100</v>
      </c>
      <c r="F11" s="1">
        <v>90</v>
      </c>
      <c r="G11" s="1" t="s">
        <v>81</v>
      </c>
      <c r="H11" s="1" t="s">
        <v>86</v>
      </c>
      <c r="I11" s="1" t="s">
        <v>90</v>
      </c>
      <c r="J11" s="5" t="s">
        <v>16</v>
      </c>
      <c r="K11" s="2">
        <v>20</v>
      </c>
      <c r="L11" s="2">
        <v>500</v>
      </c>
      <c r="M11" s="2" t="s">
        <v>17</v>
      </c>
      <c r="N11" s="21">
        <v>3.26</v>
      </c>
      <c r="O11" s="2">
        <v>1</v>
      </c>
      <c r="P11" s="2">
        <v>5.25</v>
      </c>
      <c r="Q11" s="6">
        <v>20</v>
      </c>
      <c r="R11" s="12">
        <f>((E11+6)*(F11+3))/1000000</f>
        <v>9.8580000000000004E-3</v>
      </c>
      <c r="S11" s="18">
        <f t="shared" si="0"/>
        <v>16.068539999999999</v>
      </c>
      <c r="T11" s="19">
        <f t="shared" si="1"/>
        <v>0.26250000000000001</v>
      </c>
      <c r="U11" s="18">
        <f t="shared" si="2"/>
        <v>1</v>
      </c>
      <c r="V11" s="17">
        <v>0.3594</v>
      </c>
      <c r="W11" s="14">
        <f t="shared" si="3"/>
        <v>17.690439999999999</v>
      </c>
      <c r="X11" s="14">
        <f t="shared" si="4"/>
        <v>19.482863436123345</v>
      </c>
    </row>
    <row r="12" spans="1:24" x14ac:dyDescent="0.35">
      <c r="A12" s="3">
        <v>3595</v>
      </c>
      <c r="B12" s="5" t="s">
        <v>19</v>
      </c>
      <c r="C12" s="1">
        <v>410</v>
      </c>
      <c r="D12" s="1" t="s">
        <v>21</v>
      </c>
      <c r="E12" s="1">
        <v>48</v>
      </c>
      <c r="F12" s="1">
        <v>32</v>
      </c>
      <c r="G12" s="1" t="s">
        <v>81</v>
      </c>
      <c r="H12" s="1" t="s">
        <v>86</v>
      </c>
      <c r="I12" s="1" t="s">
        <v>90</v>
      </c>
      <c r="J12" s="5" t="s">
        <v>16</v>
      </c>
      <c r="K12" s="2">
        <v>20</v>
      </c>
      <c r="L12" s="2">
        <v>2500</v>
      </c>
      <c r="M12" s="2" t="s">
        <v>17</v>
      </c>
      <c r="N12" s="21">
        <v>3.26</v>
      </c>
      <c r="O12" s="2">
        <v>1</v>
      </c>
      <c r="P12" s="2">
        <v>5.25</v>
      </c>
      <c r="Q12" s="6">
        <v>25</v>
      </c>
      <c r="R12" s="12">
        <f>((E12+6)*(F12+3))/1000000</f>
        <v>1.89E-3</v>
      </c>
      <c r="S12" s="18">
        <f t="shared" si="0"/>
        <v>15.403499999999998</v>
      </c>
      <c r="T12" s="19">
        <f t="shared" si="1"/>
        <v>0.26250000000000001</v>
      </c>
      <c r="U12" s="18">
        <f t="shared" si="2"/>
        <v>1.25</v>
      </c>
      <c r="V12" s="17">
        <v>0.1958</v>
      </c>
      <c r="W12" s="14">
        <f t="shared" si="3"/>
        <v>17.111799999999995</v>
      </c>
      <c r="X12" s="14">
        <f t="shared" si="4"/>
        <v>18.845594713656382</v>
      </c>
    </row>
    <row r="13" spans="1:24" x14ac:dyDescent="0.35">
      <c r="A13" s="16">
        <v>1130</v>
      </c>
      <c r="B13" s="4" t="s">
        <v>74</v>
      </c>
      <c r="C13" s="1">
        <v>2940</v>
      </c>
      <c r="D13" s="1" t="s">
        <v>64</v>
      </c>
      <c r="E13" s="1">
        <v>50</v>
      </c>
      <c r="F13" s="1">
        <v>31</v>
      </c>
      <c r="G13" s="1" t="s">
        <v>94</v>
      </c>
      <c r="H13" s="1" t="s">
        <v>112</v>
      </c>
      <c r="I13" s="1" t="s">
        <v>94</v>
      </c>
      <c r="J13" s="5" t="s">
        <v>75</v>
      </c>
      <c r="K13" s="2">
        <v>120</v>
      </c>
      <c r="L13" s="2">
        <v>1500</v>
      </c>
      <c r="M13" s="2" t="s">
        <v>22</v>
      </c>
      <c r="N13" s="21">
        <v>3.6</v>
      </c>
      <c r="O13" s="2">
        <v>3</v>
      </c>
      <c r="P13" s="2">
        <v>5.25</v>
      </c>
      <c r="Q13" s="6">
        <v>80</v>
      </c>
      <c r="R13" s="12">
        <f>((E13+6)*(F13+3.572))/1000000</f>
        <v>1.9360320000000001E-3</v>
      </c>
      <c r="S13" s="18">
        <f t="shared" si="0"/>
        <v>10.454572800000001</v>
      </c>
      <c r="T13" s="19">
        <f t="shared" si="1"/>
        <v>0.13125000000000001</v>
      </c>
      <c r="U13" s="18">
        <f t="shared" si="2"/>
        <v>0.66666666666666663</v>
      </c>
      <c r="V13" s="17">
        <v>0.1958</v>
      </c>
      <c r="W13" s="14">
        <f t="shared" si="3"/>
        <v>11.448289466666667</v>
      </c>
      <c r="X13" s="14">
        <f t="shared" si="4"/>
        <v>12.608248311306902</v>
      </c>
    </row>
    <row r="14" spans="1:24" x14ac:dyDescent="0.35">
      <c r="A14" s="15">
        <v>1131</v>
      </c>
      <c r="B14" s="4" t="s">
        <v>72</v>
      </c>
      <c r="C14" s="1">
        <v>500</v>
      </c>
      <c r="D14" s="1" t="s">
        <v>39</v>
      </c>
      <c r="E14" s="1">
        <v>100</v>
      </c>
      <c r="F14" s="1">
        <v>41</v>
      </c>
      <c r="G14" s="1" t="s">
        <v>81</v>
      </c>
      <c r="H14" s="1" t="s">
        <v>85</v>
      </c>
      <c r="I14" s="1" t="s">
        <v>89</v>
      </c>
      <c r="J14" s="5" t="s">
        <v>42</v>
      </c>
      <c r="K14" s="2">
        <v>25</v>
      </c>
      <c r="L14" s="2">
        <v>1000</v>
      </c>
      <c r="M14" s="2" t="s">
        <v>17</v>
      </c>
      <c r="N14" s="21">
        <v>3.25</v>
      </c>
      <c r="O14" s="2">
        <v>1</v>
      </c>
      <c r="P14" s="2">
        <v>5.25</v>
      </c>
      <c r="Q14" s="10">
        <v>0</v>
      </c>
      <c r="R14" s="12">
        <f>((E14+6)*(F14+3.45))/1000000</f>
        <v>4.711700000000001E-3</v>
      </c>
      <c r="S14" s="18">
        <f t="shared" si="0"/>
        <v>15.313025000000003</v>
      </c>
      <c r="T14" s="19">
        <f t="shared" si="1"/>
        <v>0.21</v>
      </c>
      <c r="U14" s="18">
        <f t="shared" si="2"/>
        <v>0</v>
      </c>
      <c r="V14" s="17">
        <v>0.3594</v>
      </c>
      <c r="W14" s="14">
        <f t="shared" si="3"/>
        <v>15.882425000000005</v>
      </c>
      <c r="X14" s="14">
        <f t="shared" si="4"/>
        <v>17.491657488986789</v>
      </c>
    </row>
    <row r="15" spans="1:24" x14ac:dyDescent="0.35">
      <c r="A15" s="15">
        <v>1135</v>
      </c>
      <c r="B15" s="4" t="s">
        <v>35</v>
      </c>
      <c r="C15" s="1">
        <v>1920</v>
      </c>
      <c r="D15" s="1" t="s">
        <v>67</v>
      </c>
      <c r="E15" s="1">
        <v>80</v>
      </c>
      <c r="F15" s="1">
        <v>125</v>
      </c>
      <c r="G15" s="1" t="s">
        <v>80</v>
      </c>
      <c r="H15" s="1" t="s">
        <v>87</v>
      </c>
      <c r="I15" s="1" t="s">
        <v>90</v>
      </c>
      <c r="J15" s="5" t="s">
        <v>68</v>
      </c>
      <c r="K15" s="2">
        <v>30</v>
      </c>
      <c r="L15" s="2">
        <v>800</v>
      </c>
      <c r="M15" s="2" t="s">
        <v>69</v>
      </c>
      <c r="N15" s="21">
        <v>4.57</v>
      </c>
      <c r="O15" s="2">
        <v>3</v>
      </c>
      <c r="P15" s="2">
        <v>5.25</v>
      </c>
      <c r="Q15" s="6">
        <v>116</v>
      </c>
      <c r="R15" s="12">
        <f>((E15+6)*(F15+3.5875))/1000000</f>
        <v>1.1058525E-2</v>
      </c>
      <c r="S15" s="18">
        <f t="shared" si="0"/>
        <v>40.429967400000002</v>
      </c>
      <c r="T15" s="19">
        <f t="shared" si="1"/>
        <v>0.52500000000000002</v>
      </c>
      <c r="U15" s="18">
        <f t="shared" si="2"/>
        <v>3.8666666666666667</v>
      </c>
      <c r="V15" s="17">
        <v>1.1276999999999999</v>
      </c>
      <c r="W15" s="14">
        <f t="shared" si="3"/>
        <v>45.949334066666665</v>
      </c>
      <c r="X15" s="14">
        <f t="shared" si="4"/>
        <v>50.604993465491923</v>
      </c>
    </row>
    <row r="16" spans="1:24" x14ac:dyDescent="0.35">
      <c r="A16" s="15">
        <v>1137</v>
      </c>
      <c r="B16" s="5" t="s">
        <v>38</v>
      </c>
      <c r="C16" s="1">
        <v>22400</v>
      </c>
      <c r="D16" s="1" t="s">
        <v>15</v>
      </c>
      <c r="E16" s="1">
        <v>100</v>
      </c>
      <c r="F16" s="1">
        <v>70</v>
      </c>
      <c r="G16" s="1" t="s">
        <v>80</v>
      </c>
      <c r="H16" s="1" t="s">
        <v>83</v>
      </c>
      <c r="I16" s="1" t="s">
        <v>88</v>
      </c>
      <c r="J16" s="5" t="s">
        <v>73</v>
      </c>
      <c r="K16" s="2">
        <v>320</v>
      </c>
      <c r="L16" s="2">
        <v>1000</v>
      </c>
      <c r="M16" s="2" t="s">
        <v>17</v>
      </c>
      <c r="N16" s="21">
        <v>4.45</v>
      </c>
      <c r="O16" s="2">
        <v>32</v>
      </c>
      <c r="P16" s="2">
        <v>5.25</v>
      </c>
      <c r="Q16" s="6">
        <v>360</v>
      </c>
      <c r="R16" s="12">
        <f>((E16+6)*(F16+3))/1000000</f>
        <v>7.7380000000000001E-3</v>
      </c>
      <c r="S16" s="18">
        <f t="shared" si="0"/>
        <v>34.434100000000001</v>
      </c>
      <c r="T16" s="19">
        <f t="shared" si="1"/>
        <v>0.52500000000000002</v>
      </c>
      <c r="U16" s="18">
        <f t="shared" si="2"/>
        <v>1.125</v>
      </c>
      <c r="V16" s="17">
        <v>0.3594</v>
      </c>
      <c r="W16" s="14">
        <f t="shared" si="3"/>
        <v>36.4435</v>
      </c>
      <c r="X16" s="14">
        <f t="shared" si="4"/>
        <v>40.13601321585903</v>
      </c>
    </row>
    <row r="17" spans="1:24" x14ac:dyDescent="0.35">
      <c r="A17" s="15">
        <v>1139</v>
      </c>
      <c r="B17" s="4" t="s">
        <v>53</v>
      </c>
      <c r="C17" s="1">
        <v>3150</v>
      </c>
      <c r="D17" s="1" t="s">
        <v>54</v>
      </c>
      <c r="E17" s="1">
        <v>100</v>
      </c>
      <c r="F17" s="1">
        <v>100</v>
      </c>
      <c r="G17" s="1" t="s">
        <v>81</v>
      </c>
      <c r="H17" s="1" t="s">
        <v>86</v>
      </c>
      <c r="I17" s="1" t="s">
        <v>90</v>
      </c>
      <c r="J17" s="5" t="s">
        <v>33</v>
      </c>
      <c r="K17" s="2">
        <v>90</v>
      </c>
      <c r="L17" s="2">
        <v>340</v>
      </c>
      <c r="M17" s="2" t="s">
        <v>17</v>
      </c>
      <c r="N17" s="21">
        <v>3.26</v>
      </c>
      <c r="O17" s="2">
        <v>3</v>
      </c>
      <c r="P17" s="2">
        <v>5.25</v>
      </c>
      <c r="Q17" s="6">
        <v>40</v>
      </c>
      <c r="R17" s="12">
        <f>((E17+6)*(F17+3))/1000000</f>
        <v>1.0918000000000001E-2</v>
      </c>
      <c r="S17" s="18">
        <f t="shared" si="0"/>
        <v>12.101511200000001</v>
      </c>
      <c r="T17" s="19">
        <f t="shared" si="1"/>
        <v>0.17499999999999999</v>
      </c>
      <c r="U17" s="18">
        <f t="shared" si="2"/>
        <v>0.44444444444444442</v>
      </c>
      <c r="V17" s="17">
        <v>0.3594</v>
      </c>
      <c r="W17" s="14">
        <f t="shared" si="3"/>
        <v>13.080355644444447</v>
      </c>
      <c r="X17" s="14">
        <f t="shared" si="4"/>
        <v>14.405678022515911</v>
      </c>
    </row>
    <row r="18" spans="1:24" x14ac:dyDescent="0.35">
      <c r="A18" s="15">
        <v>1141</v>
      </c>
      <c r="B18" s="4" t="s">
        <v>51</v>
      </c>
      <c r="C18" s="1">
        <v>11400</v>
      </c>
      <c r="D18" s="1" t="s">
        <v>44</v>
      </c>
      <c r="E18" s="1">
        <v>100</v>
      </c>
      <c r="F18" s="1">
        <v>150</v>
      </c>
      <c r="G18" s="1" t="s">
        <v>81</v>
      </c>
      <c r="H18" s="1" t="s">
        <v>86</v>
      </c>
      <c r="I18" s="1" t="s">
        <v>90</v>
      </c>
      <c r="J18" s="5" t="s">
        <v>52</v>
      </c>
      <c r="K18" s="2">
        <v>760</v>
      </c>
      <c r="L18" s="2">
        <v>200</v>
      </c>
      <c r="M18" s="2" t="s">
        <v>17</v>
      </c>
      <c r="N18" s="21">
        <v>3.26</v>
      </c>
      <c r="O18" s="2">
        <v>32</v>
      </c>
      <c r="P18" s="2">
        <v>5.25</v>
      </c>
      <c r="Q18" s="6">
        <v>170</v>
      </c>
      <c r="R18" s="12">
        <f>((E18+6)*(F18+3))/1000000</f>
        <v>1.6218E-2</v>
      </c>
      <c r="S18" s="18">
        <f t="shared" si="0"/>
        <v>10.574135999999999</v>
      </c>
      <c r="T18" s="19">
        <f t="shared" si="1"/>
        <v>0.22105263157894736</v>
      </c>
      <c r="U18" s="18">
        <f t="shared" si="2"/>
        <v>0.22368421052631579</v>
      </c>
      <c r="V18" s="17">
        <v>0.3594</v>
      </c>
      <c r="W18" s="14">
        <f t="shared" si="3"/>
        <v>11.378272842105263</v>
      </c>
      <c r="X18" s="14">
        <f t="shared" si="4"/>
        <v>12.531137491305355</v>
      </c>
    </row>
    <row r="19" spans="1:24" x14ac:dyDescent="0.35">
      <c r="A19" s="15">
        <v>1142</v>
      </c>
      <c r="B19" s="4" t="s">
        <v>46</v>
      </c>
      <c r="C19" s="1">
        <v>410</v>
      </c>
      <c r="D19" s="1" t="s">
        <v>47</v>
      </c>
      <c r="E19" s="1">
        <v>100</v>
      </c>
      <c r="F19" s="1">
        <v>80</v>
      </c>
      <c r="G19" s="1" t="s">
        <v>80</v>
      </c>
      <c r="H19" s="1" t="s">
        <v>82</v>
      </c>
      <c r="I19" s="1" t="s">
        <v>88</v>
      </c>
      <c r="J19" s="5" t="s">
        <v>31</v>
      </c>
      <c r="K19" s="2">
        <v>21</v>
      </c>
      <c r="L19" s="2">
        <v>470</v>
      </c>
      <c r="M19" s="2" t="s">
        <v>17</v>
      </c>
      <c r="N19" s="21">
        <v>4.2699999999999996</v>
      </c>
      <c r="O19" s="2">
        <v>1</v>
      </c>
      <c r="P19" s="2">
        <v>5.25</v>
      </c>
      <c r="Q19" s="6">
        <v>40</v>
      </c>
      <c r="R19" s="12">
        <f>((E19+6)*(F19+2.55))/1000000</f>
        <v>8.7502999999999991E-3</v>
      </c>
      <c r="S19" s="18">
        <f t="shared" si="0"/>
        <v>17.560977069999996</v>
      </c>
      <c r="T19" s="19">
        <f t="shared" si="1"/>
        <v>0.25</v>
      </c>
      <c r="U19" s="18">
        <f t="shared" si="2"/>
        <v>1.9047619047619047</v>
      </c>
      <c r="V19" s="17">
        <v>0.3594</v>
      </c>
      <c r="W19" s="14">
        <f t="shared" si="3"/>
        <v>20.075138974761902</v>
      </c>
      <c r="X19" s="14">
        <f t="shared" si="4"/>
        <v>22.109183892909584</v>
      </c>
    </row>
    <row r="20" spans="1:24" x14ac:dyDescent="0.35">
      <c r="A20" s="16">
        <v>1143</v>
      </c>
      <c r="B20" s="4" t="s">
        <v>45</v>
      </c>
      <c r="C20" s="1">
        <v>775</v>
      </c>
      <c r="D20" s="1" t="s">
        <v>30</v>
      </c>
      <c r="E20" s="1">
        <v>100</v>
      </c>
      <c r="F20" s="1">
        <v>100</v>
      </c>
      <c r="G20" s="1" t="s">
        <v>81</v>
      </c>
      <c r="H20" s="1" t="s">
        <v>85</v>
      </c>
      <c r="I20" s="1" t="s">
        <v>89</v>
      </c>
      <c r="J20" s="5" t="s">
        <v>73</v>
      </c>
      <c r="K20" s="2">
        <v>50</v>
      </c>
      <c r="L20" s="2">
        <v>310</v>
      </c>
      <c r="M20" s="2" t="s">
        <v>17</v>
      </c>
      <c r="N20" s="21">
        <v>4.45</v>
      </c>
      <c r="O20" s="2">
        <v>2</v>
      </c>
      <c r="P20" s="2">
        <v>5.25</v>
      </c>
      <c r="Q20" s="6">
        <v>35</v>
      </c>
      <c r="R20" s="12">
        <f>((E20+6)*(F20+3.6726))/1000000</f>
        <v>1.0989295599999999E-2</v>
      </c>
      <c r="S20" s="18">
        <f t="shared" si="0"/>
        <v>15.159733280199999</v>
      </c>
      <c r="T20" s="19">
        <f t="shared" si="1"/>
        <v>0.21</v>
      </c>
      <c r="U20" s="18">
        <f t="shared" si="2"/>
        <v>0.7</v>
      </c>
      <c r="V20" s="17">
        <v>0.3594</v>
      </c>
      <c r="W20" s="14">
        <f t="shared" si="3"/>
        <v>16.429133280200002</v>
      </c>
      <c r="X20" s="14">
        <f t="shared" si="4"/>
        <v>18.093759119162996</v>
      </c>
    </row>
    <row r="21" spans="1:24" x14ac:dyDescent="0.35">
      <c r="A21" s="16">
        <v>1145</v>
      </c>
      <c r="B21" s="4" t="s">
        <v>60</v>
      </c>
      <c r="C21" s="1">
        <v>160</v>
      </c>
      <c r="D21" s="1" t="s">
        <v>12</v>
      </c>
      <c r="E21" s="1">
        <v>100</v>
      </c>
      <c r="F21" s="1">
        <v>31</v>
      </c>
      <c r="G21" s="1" t="s">
        <v>81</v>
      </c>
      <c r="H21" s="1" t="s">
        <v>86</v>
      </c>
      <c r="I21" s="1" t="s">
        <v>90</v>
      </c>
      <c r="J21" s="5" t="s">
        <v>28</v>
      </c>
      <c r="K21" s="2">
        <v>10</v>
      </c>
      <c r="L21" s="2">
        <v>500</v>
      </c>
      <c r="M21" s="2" t="s">
        <v>17</v>
      </c>
      <c r="N21" s="21">
        <v>3.26</v>
      </c>
      <c r="O21" s="2">
        <v>1</v>
      </c>
      <c r="P21" s="2">
        <v>5.25</v>
      </c>
      <c r="Q21" s="6">
        <v>20</v>
      </c>
      <c r="R21" s="12">
        <f>((E21+6)*(F21+3.5722))/1000000</f>
        <v>3.6646532E-3</v>
      </c>
      <c r="S21" s="18">
        <f t="shared" si="0"/>
        <v>5.973384716</v>
      </c>
      <c r="T21" s="19">
        <f t="shared" si="1"/>
        <v>0.52500000000000002</v>
      </c>
      <c r="U21" s="18">
        <f t="shared" si="2"/>
        <v>2</v>
      </c>
      <c r="V21" s="17">
        <v>0.3594</v>
      </c>
      <c r="W21" s="13">
        <f t="shared" si="3"/>
        <v>8.8577847160000012</v>
      </c>
      <c r="X21" s="14">
        <f t="shared" si="4"/>
        <v>9.7552695110132177</v>
      </c>
    </row>
    <row r="22" spans="1:24" x14ac:dyDescent="0.35">
      <c r="A22" s="16">
        <v>1145</v>
      </c>
      <c r="B22" s="5" t="s">
        <v>60</v>
      </c>
      <c r="C22" s="1">
        <v>2250</v>
      </c>
      <c r="D22" s="1" t="s">
        <v>61</v>
      </c>
      <c r="E22" s="1">
        <v>90</v>
      </c>
      <c r="F22" s="1">
        <v>59</v>
      </c>
      <c r="G22" s="1" t="s">
        <v>81</v>
      </c>
      <c r="H22" s="1" t="s">
        <v>86</v>
      </c>
      <c r="I22" s="1" t="s">
        <v>90</v>
      </c>
      <c r="J22" s="5" t="s">
        <v>16</v>
      </c>
      <c r="K22" s="2">
        <v>150</v>
      </c>
      <c r="L22" s="2">
        <v>500</v>
      </c>
      <c r="M22" s="2" t="s">
        <v>62</v>
      </c>
      <c r="N22" s="21">
        <v>3.26</v>
      </c>
      <c r="O22" s="2">
        <v>4</v>
      </c>
      <c r="P22" s="2">
        <v>5.25</v>
      </c>
      <c r="Q22" s="6">
        <v>160</v>
      </c>
      <c r="R22" s="12">
        <f>((E22+6)*(F22+3.22))/1000000</f>
        <v>5.9731200000000002E-3</v>
      </c>
      <c r="S22" s="18">
        <f t="shared" si="0"/>
        <v>9.7361855999999989</v>
      </c>
      <c r="T22" s="19">
        <f t="shared" si="1"/>
        <v>0.14000000000000001</v>
      </c>
      <c r="U22" s="18">
        <f t="shared" si="2"/>
        <v>1.0666666666666667</v>
      </c>
      <c r="V22" s="17">
        <v>0.32279999999999998</v>
      </c>
      <c r="W22" s="13">
        <f t="shared" si="3"/>
        <v>11.265652266666667</v>
      </c>
      <c r="X22" s="14">
        <f t="shared" si="4"/>
        <v>12.407106020558002</v>
      </c>
    </row>
    <row r="23" spans="1:24" x14ac:dyDescent="0.35">
      <c r="A23" s="15">
        <v>1146</v>
      </c>
      <c r="B23" s="4" t="s">
        <v>55</v>
      </c>
      <c r="C23" s="1">
        <v>2800</v>
      </c>
      <c r="D23" s="1" t="s">
        <v>15</v>
      </c>
      <c r="E23" s="1">
        <v>100</v>
      </c>
      <c r="F23" s="1">
        <v>70</v>
      </c>
      <c r="G23" s="1" t="s">
        <v>81</v>
      </c>
      <c r="H23" s="1" t="s">
        <v>86</v>
      </c>
      <c r="I23" s="1" t="s">
        <v>90</v>
      </c>
      <c r="J23" s="5" t="s">
        <v>33</v>
      </c>
      <c r="K23" s="2">
        <v>40</v>
      </c>
      <c r="L23" s="2">
        <v>1000</v>
      </c>
      <c r="M23" s="2" t="s">
        <v>17</v>
      </c>
      <c r="N23" s="21">
        <v>3.26</v>
      </c>
      <c r="O23" s="2">
        <v>3</v>
      </c>
      <c r="P23" s="2">
        <v>5.25</v>
      </c>
      <c r="Q23" s="6">
        <v>99.4</v>
      </c>
      <c r="R23" s="12">
        <f>((E23+6)*(F23+3))/1000000</f>
        <v>7.7380000000000001E-3</v>
      </c>
      <c r="S23" s="18">
        <f t="shared" si="0"/>
        <v>25.22588</v>
      </c>
      <c r="T23" s="19">
        <f t="shared" si="1"/>
        <v>0.39374999999999999</v>
      </c>
      <c r="U23" s="18">
        <f t="shared" si="2"/>
        <v>2.4850000000000003</v>
      </c>
      <c r="V23" s="17">
        <v>0.3594</v>
      </c>
      <c r="W23" s="14">
        <f t="shared" si="3"/>
        <v>28.464030000000001</v>
      </c>
      <c r="X23" s="14">
        <f t="shared" si="4"/>
        <v>31.348050660792953</v>
      </c>
    </row>
    <row r="24" spans="1:24" x14ac:dyDescent="0.35">
      <c r="A24" s="15">
        <v>1147</v>
      </c>
      <c r="B24" s="4" t="s">
        <v>56</v>
      </c>
      <c r="C24" s="1">
        <v>8400</v>
      </c>
      <c r="D24" s="1" t="s">
        <v>15</v>
      </c>
      <c r="E24" s="1">
        <v>100</v>
      </c>
      <c r="F24" s="1">
        <v>70</v>
      </c>
      <c r="G24" s="1" t="s">
        <v>81</v>
      </c>
      <c r="H24" s="1" t="s">
        <v>86</v>
      </c>
      <c r="I24" s="1" t="s">
        <v>90</v>
      </c>
      <c r="J24" s="5" t="s">
        <v>33</v>
      </c>
      <c r="K24" s="2">
        <v>120</v>
      </c>
      <c r="L24" s="2">
        <v>1000</v>
      </c>
      <c r="M24" s="2" t="s">
        <v>17</v>
      </c>
      <c r="N24" s="21">
        <v>3.26</v>
      </c>
      <c r="O24" s="2">
        <v>9</v>
      </c>
      <c r="P24" s="2">
        <v>5.25</v>
      </c>
      <c r="Q24" s="6">
        <v>172.35</v>
      </c>
      <c r="R24" s="12">
        <f>((E24+6)*(F24+3))/1000000</f>
        <v>7.7380000000000001E-3</v>
      </c>
      <c r="S24" s="18">
        <f t="shared" si="0"/>
        <v>25.22588</v>
      </c>
      <c r="T24" s="19">
        <f t="shared" si="1"/>
        <v>0.39374999999999999</v>
      </c>
      <c r="U24" s="18">
        <f t="shared" si="2"/>
        <v>1.43625</v>
      </c>
      <c r="V24" s="17">
        <v>0.3594</v>
      </c>
      <c r="W24" s="14">
        <f t="shared" si="3"/>
        <v>27.415280000000003</v>
      </c>
      <c r="X24" s="14">
        <f t="shared" si="4"/>
        <v>30.193039647577095</v>
      </c>
    </row>
    <row r="25" spans="1:24" x14ac:dyDescent="0.35">
      <c r="A25" s="15">
        <v>1147</v>
      </c>
      <c r="B25" s="5" t="s">
        <v>59</v>
      </c>
      <c r="C25" s="1">
        <v>2800</v>
      </c>
      <c r="D25" s="1" t="s">
        <v>15</v>
      </c>
      <c r="E25" s="1">
        <v>100</v>
      </c>
      <c r="F25" s="1">
        <v>70</v>
      </c>
      <c r="G25" s="1" t="s">
        <v>81</v>
      </c>
      <c r="H25" s="1" t="s">
        <v>86</v>
      </c>
      <c r="I25" s="1" t="s">
        <v>90</v>
      </c>
      <c r="J25" s="5" t="s">
        <v>33</v>
      </c>
      <c r="K25" s="2">
        <v>40</v>
      </c>
      <c r="L25" s="2">
        <v>1000</v>
      </c>
      <c r="M25" s="2" t="s">
        <v>17</v>
      </c>
      <c r="N25" s="21">
        <v>3.26</v>
      </c>
      <c r="O25" s="2">
        <v>3</v>
      </c>
      <c r="P25" s="2">
        <v>5.25</v>
      </c>
      <c r="Q25" s="6">
        <v>170</v>
      </c>
      <c r="R25" s="12">
        <f>((E25+6)*(F25+3))/1000000</f>
        <v>7.7380000000000001E-3</v>
      </c>
      <c r="S25" s="18">
        <f t="shared" si="0"/>
        <v>25.22588</v>
      </c>
      <c r="T25" s="19">
        <f t="shared" si="1"/>
        <v>0.39374999999999999</v>
      </c>
      <c r="U25" s="18">
        <f t="shared" si="2"/>
        <v>4.25</v>
      </c>
      <c r="V25" s="17">
        <v>0.3594</v>
      </c>
      <c r="W25" s="14">
        <f t="shared" si="3"/>
        <v>30.229030000000002</v>
      </c>
      <c r="X25" s="14">
        <f t="shared" si="4"/>
        <v>33.291883259911891</v>
      </c>
    </row>
    <row r="26" spans="1:24" x14ac:dyDescent="0.35">
      <c r="A26" s="15">
        <v>1149</v>
      </c>
      <c r="B26" s="4" t="s">
        <v>38</v>
      </c>
      <c r="C26" s="1">
        <v>4800</v>
      </c>
      <c r="D26" s="1" t="s">
        <v>39</v>
      </c>
      <c r="E26" s="1">
        <v>100</v>
      </c>
      <c r="F26" s="1">
        <v>40</v>
      </c>
      <c r="G26" s="1" t="s">
        <v>80</v>
      </c>
      <c r="H26" s="1" t="s">
        <v>83</v>
      </c>
      <c r="I26" s="1" t="s">
        <v>88</v>
      </c>
      <c r="J26" s="5" t="s">
        <v>40</v>
      </c>
      <c r="K26" s="2">
        <v>60</v>
      </c>
      <c r="L26" s="2">
        <v>2000</v>
      </c>
      <c r="M26" s="2" t="s">
        <v>13</v>
      </c>
      <c r="N26" s="21">
        <v>4.45</v>
      </c>
      <c r="O26" s="2">
        <v>6</v>
      </c>
      <c r="P26" s="2">
        <v>5.25</v>
      </c>
      <c r="Q26" s="6">
        <v>99.04</v>
      </c>
      <c r="R26" s="12">
        <f>((E26+6)*(F26+3))/1000000</f>
        <v>4.5580000000000004E-3</v>
      </c>
      <c r="S26" s="18">
        <f t="shared" si="0"/>
        <v>40.566200000000002</v>
      </c>
      <c r="T26" s="19">
        <f t="shared" si="1"/>
        <v>0.52500000000000002</v>
      </c>
      <c r="U26" s="18">
        <f t="shared" si="2"/>
        <v>1.6506666666666667</v>
      </c>
      <c r="V26" s="17">
        <v>1.3945000000000001</v>
      </c>
      <c r="W26" s="14">
        <f t="shared" si="3"/>
        <v>44.136366666666667</v>
      </c>
      <c r="X26" s="14">
        <f t="shared" si="4"/>
        <v>48.608333333333334</v>
      </c>
    </row>
    <row r="27" spans="1:24" x14ac:dyDescent="0.35">
      <c r="A27" s="15">
        <v>1150</v>
      </c>
      <c r="B27" s="4" t="s">
        <v>35</v>
      </c>
      <c r="C27" s="1">
        <v>3000</v>
      </c>
      <c r="D27" s="1" t="s">
        <v>36</v>
      </c>
      <c r="E27" s="1">
        <v>100</v>
      </c>
      <c r="F27" s="1">
        <v>49</v>
      </c>
      <c r="G27" s="1" t="s">
        <v>81</v>
      </c>
      <c r="H27" s="1" t="s">
        <v>86</v>
      </c>
      <c r="I27" s="1" t="s">
        <v>90</v>
      </c>
      <c r="J27" s="5" t="s">
        <v>16</v>
      </c>
      <c r="K27" s="2">
        <v>60</v>
      </c>
      <c r="L27" s="2">
        <v>2000</v>
      </c>
      <c r="M27" s="2" t="s">
        <v>13</v>
      </c>
      <c r="N27" s="21">
        <v>3.26</v>
      </c>
      <c r="O27" s="2">
        <v>9</v>
      </c>
      <c r="P27" s="2">
        <v>5.25</v>
      </c>
      <c r="Q27" s="6">
        <v>205</v>
      </c>
      <c r="R27" s="12">
        <f>((E27+6)*(F27+2.85))/1000000</f>
        <v>5.4961000000000003E-3</v>
      </c>
      <c r="S27" s="18">
        <f t="shared" si="0"/>
        <v>35.834572000000001</v>
      </c>
      <c r="T27" s="19">
        <f t="shared" si="1"/>
        <v>0.78749999999999998</v>
      </c>
      <c r="U27" s="18">
        <f t="shared" si="2"/>
        <v>3.4166666666666665</v>
      </c>
      <c r="V27" s="17">
        <v>1.3945000000000001</v>
      </c>
      <c r="W27" s="14">
        <f t="shared" si="3"/>
        <v>41.433238666666668</v>
      </c>
      <c r="X27" s="14">
        <f t="shared" si="4"/>
        <v>45.631320117474303</v>
      </c>
    </row>
    <row r="28" spans="1:24" x14ac:dyDescent="0.35">
      <c r="A28" s="15">
        <v>1152</v>
      </c>
      <c r="B28" s="4" t="s">
        <v>37</v>
      </c>
      <c r="C28" s="1">
        <v>4200</v>
      </c>
      <c r="D28" s="1" t="s">
        <v>15</v>
      </c>
      <c r="E28" s="1">
        <v>100</v>
      </c>
      <c r="F28" s="1">
        <v>70</v>
      </c>
      <c r="G28" s="1" t="s">
        <v>81</v>
      </c>
      <c r="H28" s="1" t="s">
        <v>86</v>
      </c>
      <c r="I28" s="1" t="s">
        <v>90</v>
      </c>
      <c r="J28" s="5" t="s">
        <v>33</v>
      </c>
      <c r="K28" s="2">
        <v>60</v>
      </c>
      <c r="L28" s="2">
        <v>1000</v>
      </c>
      <c r="M28" s="2" t="s">
        <v>17</v>
      </c>
      <c r="N28" s="21">
        <v>3.26</v>
      </c>
      <c r="O28" s="2">
        <v>4</v>
      </c>
      <c r="P28" s="2">
        <v>5.25</v>
      </c>
      <c r="Q28" s="6">
        <v>129.6</v>
      </c>
      <c r="R28" s="12">
        <f t="shared" ref="R28:R42" si="5">((E28+6)*(F28+3))/1000000</f>
        <v>7.7380000000000001E-3</v>
      </c>
      <c r="S28" s="18">
        <f t="shared" si="0"/>
        <v>25.22588</v>
      </c>
      <c r="T28" s="19">
        <f t="shared" si="1"/>
        <v>0.35</v>
      </c>
      <c r="U28" s="18">
        <f t="shared" si="2"/>
        <v>2.1599999999999997</v>
      </c>
      <c r="V28" s="17">
        <v>0.3594</v>
      </c>
      <c r="W28" s="14">
        <f t="shared" si="3"/>
        <v>28.095280000000002</v>
      </c>
      <c r="X28" s="14">
        <f t="shared" si="4"/>
        <v>30.941938325991192</v>
      </c>
    </row>
    <row r="29" spans="1:24" x14ac:dyDescent="0.35">
      <c r="A29" s="15">
        <v>1158</v>
      </c>
      <c r="B29" s="4" t="s">
        <v>26</v>
      </c>
      <c r="C29" s="1">
        <v>250</v>
      </c>
      <c r="D29" s="1" t="s">
        <v>27</v>
      </c>
      <c r="E29" s="1">
        <v>100</v>
      </c>
      <c r="F29" s="1">
        <v>50</v>
      </c>
      <c r="G29" s="1" t="s">
        <v>81</v>
      </c>
      <c r="H29" s="1" t="s">
        <v>86</v>
      </c>
      <c r="I29" s="1" t="s">
        <v>90</v>
      </c>
      <c r="J29" s="5" t="s">
        <v>28</v>
      </c>
      <c r="K29" s="2">
        <v>10</v>
      </c>
      <c r="L29" s="2">
        <v>500</v>
      </c>
      <c r="M29" s="2" t="s">
        <v>17</v>
      </c>
      <c r="N29" s="21">
        <v>3.26</v>
      </c>
      <c r="O29" s="2">
        <v>0.3</v>
      </c>
      <c r="P29" s="2">
        <v>5.25</v>
      </c>
      <c r="Q29" s="6">
        <v>16.7</v>
      </c>
      <c r="R29" s="12">
        <f t="shared" si="5"/>
        <v>5.6179999999999997E-3</v>
      </c>
      <c r="S29" s="18">
        <f t="shared" si="0"/>
        <v>9.1573399999999978</v>
      </c>
      <c r="T29" s="19">
        <f t="shared" si="1"/>
        <v>0.1575</v>
      </c>
      <c r="U29" s="18">
        <f t="shared" si="2"/>
        <v>1.67</v>
      </c>
      <c r="V29" s="17">
        <v>0.3594</v>
      </c>
      <c r="W29" s="13">
        <f t="shared" si="3"/>
        <v>11.344239999999999</v>
      </c>
      <c r="X29" s="14">
        <f t="shared" si="4"/>
        <v>12.493656387665197</v>
      </c>
    </row>
    <row r="30" spans="1:24" x14ac:dyDescent="0.35">
      <c r="A30" s="15">
        <v>1158</v>
      </c>
      <c r="B30" s="5" t="s">
        <v>26</v>
      </c>
      <c r="C30" s="1">
        <v>250</v>
      </c>
      <c r="D30" s="1" t="s">
        <v>27</v>
      </c>
      <c r="E30" s="1">
        <v>100</v>
      </c>
      <c r="F30" s="1">
        <v>50</v>
      </c>
      <c r="G30" s="1" t="s">
        <v>81</v>
      </c>
      <c r="H30" s="1" t="s">
        <v>86</v>
      </c>
      <c r="I30" s="1" t="s">
        <v>90</v>
      </c>
      <c r="J30" s="5" t="s">
        <v>28</v>
      </c>
      <c r="K30" s="2">
        <v>10</v>
      </c>
      <c r="L30" s="2">
        <v>500</v>
      </c>
      <c r="M30" s="2" t="s">
        <v>17</v>
      </c>
      <c r="N30" s="21">
        <v>3.26</v>
      </c>
      <c r="O30" s="2">
        <v>0.3</v>
      </c>
      <c r="P30" s="2">
        <v>5.25</v>
      </c>
      <c r="Q30" s="6">
        <v>16.7</v>
      </c>
      <c r="R30" s="12">
        <f t="shared" si="5"/>
        <v>5.6179999999999997E-3</v>
      </c>
      <c r="S30" s="18">
        <f t="shared" si="0"/>
        <v>9.1573399999999978</v>
      </c>
      <c r="T30" s="19">
        <f t="shared" si="1"/>
        <v>0.1575</v>
      </c>
      <c r="U30" s="18">
        <f t="shared" si="2"/>
        <v>1.67</v>
      </c>
      <c r="V30" s="17">
        <v>0.3594</v>
      </c>
      <c r="W30" s="13">
        <f t="shared" si="3"/>
        <v>11.344239999999999</v>
      </c>
      <c r="X30" s="14">
        <f t="shared" si="4"/>
        <v>12.493656387665197</v>
      </c>
    </row>
    <row r="31" spans="1:24" x14ac:dyDescent="0.35">
      <c r="A31" s="15">
        <v>1158</v>
      </c>
      <c r="B31" s="5" t="s">
        <v>26</v>
      </c>
      <c r="C31" s="1">
        <v>250</v>
      </c>
      <c r="D31" s="1" t="s">
        <v>27</v>
      </c>
      <c r="E31" s="1">
        <v>100</v>
      </c>
      <c r="F31" s="1">
        <v>50</v>
      </c>
      <c r="G31" s="1" t="s">
        <v>81</v>
      </c>
      <c r="H31" s="1" t="s">
        <v>86</v>
      </c>
      <c r="I31" s="1" t="s">
        <v>90</v>
      </c>
      <c r="J31" s="5" t="s">
        <v>28</v>
      </c>
      <c r="K31" s="2">
        <v>10</v>
      </c>
      <c r="L31" s="2">
        <v>500</v>
      </c>
      <c r="M31" s="2" t="s">
        <v>17</v>
      </c>
      <c r="N31" s="21">
        <v>3.26</v>
      </c>
      <c r="O31" s="2">
        <v>0.3</v>
      </c>
      <c r="P31" s="2">
        <v>5.25</v>
      </c>
      <c r="Q31" s="6">
        <v>16.7</v>
      </c>
      <c r="R31" s="12">
        <f t="shared" si="5"/>
        <v>5.6179999999999997E-3</v>
      </c>
      <c r="S31" s="18">
        <f t="shared" si="0"/>
        <v>9.1573399999999978</v>
      </c>
      <c r="T31" s="19">
        <f t="shared" si="1"/>
        <v>0.1575</v>
      </c>
      <c r="U31" s="18">
        <f t="shared" si="2"/>
        <v>1.67</v>
      </c>
      <c r="V31" s="17">
        <v>0.3594</v>
      </c>
      <c r="W31" s="13">
        <f t="shared" si="3"/>
        <v>11.344239999999999</v>
      </c>
      <c r="X31" s="14">
        <f t="shared" si="4"/>
        <v>12.493656387665197</v>
      </c>
    </row>
    <row r="32" spans="1:24" x14ac:dyDescent="0.35">
      <c r="A32" s="16">
        <v>1160</v>
      </c>
      <c r="B32" s="4" t="s">
        <v>23</v>
      </c>
      <c r="C32" s="1">
        <v>390</v>
      </c>
      <c r="D32" s="1" t="s">
        <v>24</v>
      </c>
      <c r="E32" s="1">
        <v>100</v>
      </c>
      <c r="F32" s="1">
        <v>130</v>
      </c>
      <c r="G32" s="1" t="s">
        <v>80</v>
      </c>
      <c r="H32" s="1" t="s">
        <v>83</v>
      </c>
      <c r="I32" s="1" t="s">
        <v>88</v>
      </c>
      <c r="J32" s="5" t="s">
        <v>25</v>
      </c>
      <c r="K32" s="2">
        <v>10</v>
      </c>
      <c r="L32" s="2">
        <v>300</v>
      </c>
      <c r="M32" s="2" t="s">
        <v>17</v>
      </c>
      <c r="N32" s="21">
        <v>4.45</v>
      </c>
      <c r="O32" s="2">
        <v>1</v>
      </c>
      <c r="P32" s="2">
        <v>5.25</v>
      </c>
      <c r="Q32" s="10">
        <v>0</v>
      </c>
      <c r="R32" s="12">
        <f t="shared" si="5"/>
        <v>1.4097999999999999E-2</v>
      </c>
      <c r="S32" s="18">
        <f t="shared" si="0"/>
        <v>18.820830000000001</v>
      </c>
      <c r="T32" s="19">
        <f t="shared" si="1"/>
        <v>0.52500000000000002</v>
      </c>
      <c r="U32" s="18">
        <f t="shared" si="2"/>
        <v>0</v>
      </c>
      <c r="V32" s="17">
        <v>0.3594</v>
      </c>
      <c r="W32" s="13">
        <f t="shared" si="3"/>
        <v>19.70523</v>
      </c>
      <c r="X32" s="14">
        <f t="shared" si="4"/>
        <v>21.701795154185021</v>
      </c>
    </row>
    <row r="33" spans="1:24" x14ac:dyDescent="0.35">
      <c r="A33" s="16">
        <v>1161</v>
      </c>
      <c r="B33" s="5" t="s">
        <v>14</v>
      </c>
      <c r="C33" s="1">
        <v>1000</v>
      </c>
      <c r="D33" s="1" t="s">
        <v>15</v>
      </c>
      <c r="E33" s="1">
        <v>100</v>
      </c>
      <c r="F33" s="1">
        <v>70</v>
      </c>
      <c r="G33" s="1" t="s">
        <v>81</v>
      </c>
      <c r="H33" s="1" t="s">
        <v>86</v>
      </c>
      <c r="I33" s="1" t="s">
        <v>90</v>
      </c>
      <c r="J33" s="5" t="s">
        <v>16</v>
      </c>
      <c r="K33" s="2">
        <v>50</v>
      </c>
      <c r="L33" s="2">
        <v>554</v>
      </c>
      <c r="M33" s="2" t="s">
        <v>17</v>
      </c>
      <c r="N33" s="21">
        <v>3.26</v>
      </c>
      <c r="O33" s="2">
        <v>1</v>
      </c>
      <c r="P33" s="2">
        <v>5.25</v>
      </c>
      <c r="Q33" s="10">
        <v>0</v>
      </c>
      <c r="R33" s="12">
        <f t="shared" si="5"/>
        <v>7.7380000000000001E-3</v>
      </c>
      <c r="S33" s="18">
        <f t="shared" si="0"/>
        <v>13.975137519999999</v>
      </c>
      <c r="T33" s="19">
        <f t="shared" si="1"/>
        <v>0.105</v>
      </c>
      <c r="U33" s="18">
        <f t="shared" si="2"/>
        <v>0</v>
      </c>
      <c r="V33" s="17">
        <v>0.3594</v>
      </c>
      <c r="W33" s="13">
        <f t="shared" si="3"/>
        <v>14.43953752</v>
      </c>
      <c r="X33" s="14">
        <f t="shared" si="4"/>
        <v>15.90257436123348</v>
      </c>
    </row>
    <row r="34" spans="1:24" x14ac:dyDescent="0.35">
      <c r="A34" s="15">
        <v>1161</v>
      </c>
      <c r="B34" s="5" t="s">
        <v>8</v>
      </c>
      <c r="C34" s="1">
        <v>100</v>
      </c>
      <c r="D34" s="1" t="s">
        <v>12</v>
      </c>
      <c r="E34" s="1">
        <v>100</v>
      </c>
      <c r="F34" s="1">
        <v>30</v>
      </c>
      <c r="G34" s="1" t="s">
        <v>80</v>
      </c>
      <c r="H34" s="1" t="s">
        <v>83</v>
      </c>
      <c r="I34" s="1" t="s">
        <v>88</v>
      </c>
      <c r="J34" s="5" t="s">
        <v>10</v>
      </c>
      <c r="K34" s="2">
        <v>3</v>
      </c>
      <c r="L34" s="2">
        <v>1000</v>
      </c>
      <c r="M34" s="2" t="s">
        <v>13</v>
      </c>
      <c r="N34" s="21">
        <v>4.45</v>
      </c>
      <c r="O34" s="2">
        <v>0.5</v>
      </c>
      <c r="P34" s="2">
        <v>5.25</v>
      </c>
      <c r="Q34" s="10">
        <v>45</v>
      </c>
      <c r="R34" s="12">
        <f t="shared" si="5"/>
        <v>3.4979999999999998E-3</v>
      </c>
      <c r="S34" s="18">
        <f t="shared" si="0"/>
        <v>15.566099999999999</v>
      </c>
      <c r="T34" s="19">
        <f t="shared" si="1"/>
        <v>0.875</v>
      </c>
      <c r="U34" s="18">
        <f>Q34/K34</f>
        <v>15</v>
      </c>
      <c r="V34" s="17">
        <v>1.3945000000000001</v>
      </c>
      <c r="W34" s="13">
        <f t="shared" si="3"/>
        <v>32.835599999999999</v>
      </c>
      <c r="X34" s="14">
        <f t="shared" si="4"/>
        <v>36.162555066079292</v>
      </c>
    </row>
    <row r="35" spans="1:24" x14ac:dyDescent="0.35">
      <c r="A35" s="15">
        <v>1161</v>
      </c>
      <c r="B35" s="5" t="s">
        <v>18</v>
      </c>
      <c r="C35" s="1">
        <v>2250</v>
      </c>
      <c r="D35" s="1" t="s">
        <v>15</v>
      </c>
      <c r="E35" s="1">
        <v>100</v>
      </c>
      <c r="F35" s="1">
        <v>70</v>
      </c>
      <c r="G35" s="1" t="s">
        <v>81</v>
      </c>
      <c r="H35" s="1" t="s">
        <v>86</v>
      </c>
      <c r="I35" s="1" t="s">
        <v>90</v>
      </c>
      <c r="J35" s="5" t="s">
        <v>16</v>
      </c>
      <c r="K35" s="2">
        <v>50</v>
      </c>
      <c r="L35" s="2">
        <v>1285</v>
      </c>
      <c r="M35" s="2" t="s">
        <v>13</v>
      </c>
      <c r="N35" s="21">
        <v>3.26</v>
      </c>
      <c r="O35" s="2">
        <v>7</v>
      </c>
      <c r="P35" s="2">
        <v>5.25</v>
      </c>
      <c r="Q35" s="6">
        <v>65</v>
      </c>
      <c r="R35" s="12">
        <f t="shared" si="5"/>
        <v>7.7380000000000001E-3</v>
      </c>
      <c r="S35" s="18">
        <f t="shared" si="0"/>
        <v>32.415255799999997</v>
      </c>
      <c r="T35" s="19">
        <f t="shared" si="1"/>
        <v>0.73499999999999999</v>
      </c>
      <c r="U35" s="18">
        <f t="shared" si="2"/>
        <v>1.3</v>
      </c>
      <c r="V35" s="17">
        <v>1.3945000000000001</v>
      </c>
      <c r="W35" s="13">
        <f t="shared" si="3"/>
        <v>35.844755799999994</v>
      </c>
      <c r="X35" s="14">
        <f t="shared" si="4"/>
        <v>39.476603303964751</v>
      </c>
    </row>
    <row r="36" spans="1:24" x14ac:dyDescent="0.35">
      <c r="A36" s="15">
        <v>1161</v>
      </c>
      <c r="B36" s="4" t="s">
        <v>8</v>
      </c>
      <c r="C36" s="1">
        <v>50</v>
      </c>
      <c r="D36" s="1" t="s">
        <v>9</v>
      </c>
      <c r="E36" s="1">
        <v>51</v>
      </c>
      <c r="F36" s="1">
        <v>51</v>
      </c>
      <c r="G36" s="1" t="s">
        <v>80</v>
      </c>
      <c r="H36" s="1" t="s">
        <v>83</v>
      </c>
      <c r="I36" s="1" t="s">
        <v>88</v>
      </c>
      <c r="J36" s="5" t="s">
        <v>10</v>
      </c>
      <c r="K36" s="2">
        <v>3</v>
      </c>
      <c r="L36" s="2">
        <v>1111</v>
      </c>
      <c r="M36" s="2" t="s">
        <v>11</v>
      </c>
      <c r="N36" s="21">
        <v>4.45</v>
      </c>
      <c r="O36" s="2">
        <v>0.5</v>
      </c>
      <c r="P36" s="2">
        <v>5.25</v>
      </c>
      <c r="Q36" s="10">
        <v>0</v>
      </c>
      <c r="R36" s="12">
        <f t="shared" si="5"/>
        <v>3.078E-3</v>
      </c>
      <c r="S36" s="18">
        <f t="shared" si="0"/>
        <v>15.217478100000001</v>
      </c>
      <c r="T36" s="19">
        <f t="shared" si="1"/>
        <v>0.875</v>
      </c>
      <c r="U36" s="18">
        <f t="shared" si="2"/>
        <v>0</v>
      </c>
      <c r="V36" s="17">
        <v>0.72309999999999997</v>
      </c>
      <c r="W36" s="13">
        <f t="shared" si="3"/>
        <v>16.8155781</v>
      </c>
      <c r="X36" s="14">
        <f t="shared" si="4"/>
        <v>18.519359140969161</v>
      </c>
    </row>
    <row r="37" spans="1:24" x14ac:dyDescent="0.35">
      <c r="A37" s="15">
        <v>1162</v>
      </c>
      <c r="B37" s="5" t="s">
        <v>102</v>
      </c>
      <c r="C37" s="1">
        <v>7600</v>
      </c>
      <c r="D37" s="22" t="s">
        <v>106</v>
      </c>
      <c r="E37" s="22">
        <v>102</v>
      </c>
      <c r="F37" s="22">
        <v>197</v>
      </c>
      <c r="G37" s="1" t="s">
        <v>80</v>
      </c>
      <c r="H37" s="1" t="s">
        <v>83</v>
      </c>
      <c r="I37" s="1" t="s">
        <v>88</v>
      </c>
      <c r="J37" s="5" t="s">
        <v>110</v>
      </c>
      <c r="K37" s="2">
        <v>152</v>
      </c>
      <c r="L37" s="2">
        <v>500</v>
      </c>
      <c r="M37" s="2" t="s">
        <v>107</v>
      </c>
      <c r="N37" s="21">
        <v>4.45</v>
      </c>
      <c r="O37" s="2">
        <v>18</v>
      </c>
      <c r="P37" s="2">
        <v>5.25</v>
      </c>
      <c r="Q37" s="10">
        <v>300</v>
      </c>
      <c r="R37" s="12">
        <f>((E38+6)*(F38+3))/1000000</f>
        <v>1.3328E-2</v>
      </c>
      <c r="S37" s="18">
        <f t="shared" si="0"/>
        <v>29.654799999999998</v>
      </c>
      <c r="T37" s="19">
        <f t="shared" si="1"/>
        <v>0.62171052631578949</v>
      </c>
      <c r="U37" s="18">
        <f t="shared" si="2"/>
        <v>1.9736842105263157</v>
      </c>
      <c r="V37" s="17">
        <v>0.72309999999999997</v>
      </c>
      <c r="W37" s="13">
        <f t="shared" si="3"/>
        <v>32.973294736842107</v>
      </c>
      <c r="X37" s="14">
        <f t="shared" si="4"/>
        <v>36.314201252028752</v>
      </c>
    </row>
    <row r="38" spans="1:24" x14ac:dyDescent="0.35">
      <c r="A38" s="15">
        <v>1162</v>
      </c>
      <c r="B38" s="5" t="s">
        <v>102</v>
      </c>
      <c r="C38" s="1">
        <v>3510</v>
      </c>
      <c r="D38" s="1" t="s">
        <v>103</v>
      </c>
      <c r="E38" s="1">
        <v>50</v>
      </c>
      <c r="F38" s="1">
        <v>235</v>
      </c>
      <c r="G38" s="1" t="s">
        <v>80</v>
      </c>
      <c r="H38" s="1" t="s">
        <v>83</v>
      </c>
      <c r="I38" s="1" t="s">
        <v>88</v>
      </c>
      <c r="J38" s="5" t="s">
        <v>111</v>
      </c>
      <c r="K38" s="2">
        <v>60</v>
      </c>
      <c r="L38" s="2">
        <v>500</v>
      </c>
      <c r="M38" s="2" t="s">
        <v>11</v>
      </c>
      <c r="N38" s="21">
        <v>4.45</v>
      </c>
      <c r="O38" s="2">
        <v>4</v>
      </c>
      <c r="P38" s="2">
        <v>5.25</v>
      </c>
      <c r="Q38" s="10">
        <v>100</v>
      </c>
      <c r="R38" s="12">
        <f>((E39+6)*(F39+3))/1000000</f>
        <v>1.1368E-2</v>
      </c>
      <c r="S38" s="18">
        <f t="shared" si="0"/>
        <v>25.293800000000001</v>
      </c>
      <c r="T38" s="19">
        <f t="shared" si="1"/>
        <v>0.35</v>
      </c>
      <c r="U38" s="18">
        <f t="shared" si="2"/>
        <v>1.6666666666666667</v>
      </c>
      <c r="V38" s="17">
        <v>0.72309999999999997</v>
      </c>
      <c r="W38" s="13">
        <f t="shared" si="3"/>
        <v>28.033566666666669</v>
      </c>
      <c r="X38" s="14">
        <f t="shared" si="4"/>
        <v>30.873972099853159</v>
      </c>
    </row>
    <row r="39" spans="1:24" x14ac:dyDescent="0.35">
      <c r="A39" s="15">
        <v>1162</v>
      </c>
      <c r="B39" s="5" t="s">
        <v>102</v>
      </c>
      <c r="C39" s="1">
        <v>6000</v>
      </c>
      <c r="D39" s="1" t="s">
        <v>104</v>
      </c>
      <c r="E39" s="1">
        <v>50</v>
      </c>
      <c r="F39" s="1">
        <v>200</v>
      </c>
      <c r="G39" s="1" t="s">
        <v>80</v>
      </c>
      <c r="H39" s="1" t="s">
        <v>83</v>
      </c>
      <c r="I39" s="1" t="s">
        <v>88</v>
      </c>
      <c r="J39" s="5" t="s">
        <v>111</v>
      </c>
      <c r="K39" s="2">
        <v>60</v>
      </c>
      <c r="L39" s="2">
        <v>1000</v>
      </c>
      <c r="M39" s="2" t="s">
        <v>11</v>
      </c>
      <c r="N39" s="21">
        <v>4.45</v>
      </c>
      <c r="O39" s="2">
        <v>8</v>
      </c>
      <c r="P39" s="2">
        <v>5.25</v>
      </c>
      <c r="Q39" s="10">
        <v>100</v>
      </c>
      <c r="R39" s="12">
        <f>((E40+6)*(F40+3))/1000000</f>
        <v>1.5455999999999999E-2</v>
      </c>
      <c r="S39" s="18">
        <f t="shared" si="0"/>
        <v>68.779200000000003</v>
      </c>
      <c r="T39" s="19">
        <f t="shared" si="1"/>
        <v>0.7</v>
      </c>
      <c r="U39" s="18">
        <f t="shared" si="2"/>
        <v>1.6666666666666667</v>
      </c>
      <c r="V39" s="17">
        <v>0.72309999999999997</v>
      </c>
      <c r="W39" s="13">
        <f t="shared" si="3"/>
        <v>71.86896666666668</v>
      </c>
      <c r="X39" s="14">
        <f t="shared" si="4"/>
        <v>79.150844346549206</v>
      </c>
    </row>
    <row r="40" spans="1:24" x14ac:dyDescent="0.35">
      <c r="A40" s="15">
        <v>1162</v>
      </c>
      <c r="B40" s="5" t="s">
        <v>102</v>
      </c>
      <c r="C40" s="1">
        <v>1344</v>
      </c>
      <c r="D40" s="1" t="s">
        <v>105</v>
      </c>
      <c r="E40" s="1">
        <v>86</v>
      </c>
      <c r="F40" s="1">
        <v>165</v>
      </c>
      <c r="G40" s="1" t="s">
        <v>80</v>
      </c>
      <c r="H40" s="1" t="s">
        <v>83</v>
      </c>
      <c r="I40" s="1" t="s">
        <v>88</v>
      </c>
      <c r="J40" s="5" t="s">
        <v>111</v>
      </c>
      <c r="K40" s="2">
        <v>8</v>
      </c>
      <c r="L40" s="2">
        <v>1000</v>
      </c>
      <c r="M40" s="2" t="s">
        <v>108</v>
      </c>
      <c r="N40" s="21">
        <v>4.45</v>
      </c>
      <c r="O40" s="2">
        <v>3</v>
      </c>
      <c r="P40" s="2">
        <v>5.25</v>
      </c>
      <c r="Q40" s="10">
        <v>60</v>
      </c>
      <c r="R40" s="12">
        <f>((E41+6)*(F41+3))/1000000</f>
        <v>2.408E-3</v>
      </c>
      <c r="S40" s="18">
        <f t="shared" si="0"/>
        <v>10.7156</v>
      </c>
      <c r="T40" s="19">
        <f t="shared" si="1"/>
        <v>1.96875</v>
      </c>
      <c r="U40" s="18">
        <f t="shared" si="2"/>
        <v>7.5</v>
      </c>
      <c r="V40" s="17">
        <v>0.72309999999999997</v>
      </c>
      <c r="W40" s="13">
        <f t="shared" si="3"/>
        <v>20.907450000000001</v>
      </c>
      <c r="X40" s="14">
        <f t="shared" si="4"/>
        <v>23.025825991189429</v>
      </c>
    </row>
    <row r="41" spans="1:24" x14ac:dyDescent="0.35">
      <c r="A41" s="15">
        <v>1163</v>
      </c>
      <c r="B41" s="4" t="s">
        <v>56</v>
      </c>
      <c r="C41" s="1">
        <v>5400</v>
      </c>
      <c r="D41" s="1" t="s">
        <v>57</v>
      </c>
      <c r="E41" s="1">
        <v>50</v>
      </c>
      <c r="F41" s="1">
        <v>40</v>
      </c>
      <c r="G41" s="1" t="s">
        <v>81</v>
      </c>
      <c r="H41" s="1" t="s">
        <v>86</v>
      </c>
      <c r="I41" s="1" t="s">
        <v>90</v>
      </c>
      <c r="J41" s="5" t="s">
        <v>58</v>
      </c>
      <c r="K41" s="2">
        <v>135</v>
      </c>
      <c r="L41" s="6">
        <f>40000/43</f>
        <v>930.23255813953483</v>
      </c>
      <c r="M41" s="2" t="s">
        <v>22</v>
      </c>
      <c r="N41" s="21">
        <v>3.26</v>
      </c>
      <c r="O41" s="2">
        <v>5</v>
      </c>
      <c r="P41" s="2">
        <v>5.25</v>
      </c>
      <c r="Q41" s="6">
        <v>144.16999999999999</v>
      </c>
      <c r="R41" s="12">
        <f t="shared" si="5"/>
        <v>2.408E-3</v>
      </c>
      <c r="S41" s="18">
        <f t="shared" si="0"/>
        <v>7.3023999999999987</v>
      </c>
      <c r="T41" s="19">
        <f t="shared" si="1"/>
        <v>0.19444444444444445</v>
      </c>
      <c r="U41" s="18">
        <f t="shared" si="2"/>
        <v>1.0679259259259257</v>
      </c>
      <c r="V41" s="17">
        <v>0.1958</v>
      </c>
      <c r="W41" s="13">
        <f t="shared" si="3"/>
        <v>8.7605703703703686</v>
      </c>
      <c r="X41" s="14">
        <f t="shared" si="4"/>
        <v>9.6482052537118594</v>
      </c>
    </row>
    <row r="42" spans="1:24" x14ac:dyDescent="0.35">
      <c r="A42" s="15">
        <v>1165</v>
      </c>
      <c r="B42" s="4" t="s">
        <v>32</v>
      </c>
      <c r="C42" s="1">
        <v>250</v>
      </c>
      <c r="D42" s="1" t="s">
        <v>109</v>
      </c>
      <c r="E42" s="1">
        <v>205</v>
      </c>
      <c r="F42" s="1">
        <v>104</v>
      </c>
      <c r="G42" s="1" t="s">
        <v>81</v>
      </c>
      <c r="H42" s="1" t="s">
        <v>86</v>
      </c>
      <c r="I42" s="1" t="s">
        <v>90</v>
      </c>
      <c r="J42" s="5" t="s">
        <v>33</v>
      </c>
      <c r="K42" s="2">
        <v>10</v>
      </c>
      <c r="L42" s="2">
        <v>1000</v>
      </c>
      <c r="M42" s="2" t="s">
        <v>34</v>
      </c>
      <c r="N42" s="21">
        <v>3.26</v>
      </c>
      <c r="O42" s="2">
        <v>1</v>
      </c>
      <c r="P42" s="2">
        <v>5.25</v>
      </c>
      <c r="Q42" s="10">
        <v>0</v>
      </c>
      <c r="R42" s="12">
        <f t="shared" si="5"/>
        <v>2.2577E-2</v>
      </c>
      <c r="S42" s="18">
        <f t="shared" si="0"/>
        <v>73.601019999999991</v>
      </c>
      <c r="T42" s="19">
        <f t="shared" si="1"/>
        <v>0.52500000000000002</v>
      </c>
      <c r="U42" s="18">
        <f t="shared" si="2"/>
        <v>0</v>
      </c>
      <c r="V42" s="17">
        <v>0.31</v>
      </c>
      <c r="W42" s="13">
        <f t="shared" si="3"/>
        <v>74.436019999999999</v>
      </c>
      <c r="X42" s="14">
        <f t="shared" si="4"/>
        <v>81.977995594713647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B9548-D63F-4C69-B0A8-68C064F7F0BD}">
  <dimension ref="A2:E42"/>
  <sheetViews>
    <sheetView workbookViewId="0">
      <selection activeCell="H35" sqref="H35"/>
    </sheetView>
  </sheetViews>
  <sheetFormatPr defaultRowHeight="14.5" x14ac:dyDescent="0.35"/>
  <cols>
    <col min="1" max="1" width="9.90625" bestFit="1" customWidth="1"/>
    <col min="2" max="2" width="9.54296875" bestFit="1" customWidth="1"/>
    <col min="3" max="3" width="35.7265625" bestFit="1" customWidth="1"/>
    <col min="4" max="4" width="24.6328125" bestFit="1" customWidth="1"/>
  </cols>
  <sheetData>
    <row r="2" spans="1:5" x14ac:dyDescent="0.35">
      <c r="A2" s="2" t="s">
        <v>3</v>
      </c>
      <c r="B2" s="2" t="s">
        <v>93</v>
      </c>
      <c r="C2" s="2" t="s">
        <v>1</v>
      </c>
      <c r="D2" s="2" t="s">
        <v>5</v>
      </c>
      <c r="E2" s="2" t="s">
        <v>6</v>
      </c>
    </row>
    <row r="3" spans="1:5" x14ac:dyDescent="0.35">
      <c r="A3" s="1" t="s">
        <v>36</v>
      </c>
      <c r="B3" s="1" t="s">
        <v>82</v>
      </c>
      <c r="C3" s="5" t="s">
        <v>43</v>
      </c>
      <c r="D3" s="2">
        <v>1500</v>
      </c>
      <c r="E3" s="2" t="s">
        <v>13</v>
      </c>
    </row>
    <row r="4" spans="1:5" x14ac:dyDescent="0.35">
      <c r="A4" s="1" t="s">
        <v>67</v>
      </c>
      <c r="B4" s="1" t="s">
        <v>83</v>
      </c>
      <c r="C4" s="5" t="s">
        <v>70</v>
      </c>
      <c r="D4" s="2">
        <v>1000</v>
      </c>
      <c r="E4" s="2" t="s">
        <v>69</v>
      </c>
    </row>
    <row r="5" spans="1:5" x14ac:dyDescent="0.35">
      <c r="A5" s="1" t="s">
        <v>64</v>
      </c>
      <c r="B5" s="1" t="s">
        <v>82</v>
      </c>
      <c r="C5" s="5" t="s">
        <v>63</v>
      </c>
      <c r="D5" s="2">
        <v>1200</v>
      </c>
      <c r="E5" s="2" t="s">
        <v>22</v>
      </c>
    </row>
    <row r="6" spans="1:5" x14ac:dyDescent="0.35">
      <c r="A6" s="1" t="s">
        <v>64</v>
      </c>
      <c r="B6" s="1" t="s">
        <v>84</v>
      </c>
      <c r="C6" s="5" t="s">
        <v>65</v>
      </c>
      <c r="D6" s="2">
        <v>1200</v>
      </c>
      <c r="E6" s="2" t="s">
        <v>22</v>
      </c>
    </row>
    <row r="7" spans="1:5" x14ac:dyDescent="0.35">
      <c r="A7" s="1" t="s">
        <v>49</v>
      </c>
      <c r="B7" s="1" t="s">
        <v>85</v>
      </c>
      <c r="C7" s="5" t="s">
        <v>48</v>
      </c>
      <c r="D7" s="2">
        <v>358</v>
      </c>
      <c r="E7" s="2" t="s">
        <v>17</v>
      </c>
    </row>
    <row r="8" spans="1:5" x14ac:dyDescent="0.35">
      <c r="A8" s="1" t="s">
        <v>36</v>
      </c>
      <c r="B8" s="1" t="s">
        <v>85</v>
      </c>
      <c r="C8" s="5" t="s">
        <v>41</v>
      </c>
      <c r="D8" s="2">
        <v>1000</v>
      </c>
      <c r="E8" s="2" t="s">
        <v>17</v>
      </c>
    </row>
    <row r="9" spans="1:5" x14ac:dyDescent="0.35">
      <c r="A9" s="1" t="s">
        <v>44</v>
      </c>
      <c r="B9" s="1" t="s">
        <v>82</v>
      </c>
      <c r="C9" s="5" t="s">
        <v>43</v>
      </c>
      <c r="D9" s="2">
        <v>1500</v>
      </c>
      <c r="E9" s="2" t="s">
        <v>13</v>
      </c>
    </row>
    <row r="10" spans="1:5" x14ac:dyDescent="0.35">
      <c r="A10" s="1" t="s">
        <v>30</v>
      </c>
      <c r="B10" s="1" t="s">
        <v>82</v>
      </c>
      <c r="C10" s="5" t="s">
        <v>29</v>
      </c>
      <c r="D10" s="6">
        <f>30000/103</f>
        <v>291.26213592233012</v>
      </c>
      <c r="E10" s="2" t="s">
        <v>17</v>
      </c>
    </row>
    <row r="11" spans="1:5" x14ac:dyDescent="0.35">
      <c r="A11" s="1" t="s">
        <v>20</v>
      </c>
      <c r="B11" s="1" t="s">
        <v>86</v>
      </c>
      <c r="C11" s="5" t="s">
        <v>19</v>
      </c>
      <c r="D11" s="2">
        <v>500</v>
      </c>
      <c r="E11" s="2" t="s">
        <v>17</v>
      </c>
    </row>
    <row r="12" spans="1:5" x14ac:dyDescent="0.35">
      <c r="A12" s="1" t="s">
        <v>21</v>
      </c>
      <c r="B12" s="1" t="s">
        <v>86</v>
      </c>
      <c r="C12" s="5" t="s">
        <v>19</v>
      </c>
      <c r="D12" s="2">
        <v>2500</v>
      </c>
      <c r="E12" s="2" t="s">
        <v>17</v>
      </c>
    </row>
    <row r="13" spans="1:5" x14ac:dyDescent="0.35">
      <c r="A13" s="1" t="s">
        <v>64</v>
      </c>
      <c r="B13" s="1"/>
      <c r="C13" s="4" t="s">
        <v>74</v>
      </c>
      <c r="D13" s="2">
        <v>1500</v>
      </c>
      <c r="E13" s="2" t="s">
        <v>22</v>
      </c>
    </row>
    <row r="14" spans="1:5" x14ac:dyDescent="0.35">
      <c r="A14" s="1" t="s">
        <v>39</v>
      </c>
      <c r="B14" s="1" t="s">
        <v>85</v>
      </c>
      <c r="C14" s="4" t="s">
        <v>72</v>
      </c>
      <c r="D14" s="2">
        <v>1000</v>
      </c>
      <c r="E14" s="2" t="s">
        <v>17</v>
      </c>
    </row>
    <row r="15" spans="1:5" x14ac:dyDescent="0.35">
      <c r="A15" s="1" t="s">
        <v>67</v>
      </c>
      <c r="B15" s="1" t="s">
        <v>87</v>
      </c>
      <c r="C15" s="4" t="s">
        <v>35</v>
      </c>
      <c r="D15" s="2">
        <v>800</v>
      </c>
      <c r="E15" s="2" t="s">
        <v>69</v>
      </c>
    </row>
    <row r="16" spans="1:5" x14ac:dyDescent="0.35">
      <c r="A16" s="1" t="s">
        <v>15</v>
      </c>
      <c r="B16" s="1" t="s">
        <v>83</v>
      </c>
      <c r="C16" s="5" t="s">
        <v>38</v>
      </c>
      <c r="D16" s="2">
        <v>1000</v>
      </c>
      <c r="E16" s="2" t="s">
        <v>17</v>
      </c>
    </row>
    <row r="17" spans="1:5" x14ac:dyDescent="0.35">
      <c r="A17" s="1" t="s">
        <v>54</v>
      </c>
      <c r="B17" s="1" t="s">
        <v>86</v>
      </c>
      <c r="C17" s="4" t="s">
        <v>53</v>
      </c>
      <c r="D17" s="2">
        <v>340</v>
      </c>
      <c r="E17" s="2" t="s">
        <v>17</v>
      </c>
    </row>
    <row r="18" spans="1:5" x14ac:dyDescent="0.35">
      <c r="A18" s="1" t="s">
        <v>44</v>
      </c>
      <c r="B18" s="1" t="s">
        <v>86</v>
      </c>
      <c r="C18" s="4" t="s">
        <v>51</v>
      </c>
      <c r="D18" s="2">
        <v>200</v>
      </c>
      <c r="E18" s="2" t="s">
        <v>17</v>
      </c>
    </row>
    <row r="19" spans="1:5" x14ac:dyDescent="0.35">
      <c r="A19" s="1" t="s">
        <v>47</v>
      </c>
      <c r="B19" s="1" t="s">
        <v>82</v>
      </c>
      <c r="C19" s="4" t="s">
        <v>46</v>
      </c>
      <c r="D19" s="2">
        <v>470</v>
      </c>
      <c r="E19" s="2" t="s">
        <v>17</v>
      </c>
    </row>
    <row r="20" spans="1:5" x14ac:dyDescent="0.35">
      <c r="A20" s="1" t="s">
        <v>30</v>
      </c>
      <c r="B20" s="1" t="s">
        <v>85</v>
      </c>
      <c r="C20" s="4" t="s">
        <v>45</v>
      </c>
      <c r="D20" s="2">
        <v>310</v>
      </c>
      <c r="E20" s="2" t="s">
        <v>17</v>
      </c>
    </row>
    <row r="21" spans="1:5" x14ac:dyDescent="0.35">
      <c r="A21" s="1" t="s">
        <v>12</v>
      </c>
      <c r="B21" s="1" t="s">
        <v>86</v>
      </c>
      <c r="C21" s="4" t="s">
        <v>60</v>
      </c>
      <c r="D21" s="2">
        <v>500</v>
      </c>
      <c r="E21" s="2" t="s">
        <v>17</v>
      </c>
    </row>
    <row r="22" spans="1:5" x14ac:dyDescent="0.35">
      <c r="A22" s="1" t="s">
        <v>61</v>
      </c>
      <c r="B22" s="1" t="s">
        <v>86</v>
      </c>
      <c r="C22" s="5" t="s">
        <v>60</v>
      </c>
      <c r="D22" s="2">
        <v>500</v>
      </c>
      <c r="E22" s="2" t="s">
        <v>62</v>
      </c>
    </row>
    <row r="23" spans="1:5" x14ac:dyDescent="0.35">
      <c r="A23" s="1" t="s">
        <v>15</v>
      </c>
      <c r="B23" s="1" t="s">
        <v>86</v>
      </c>
      <c r="C23" s="4" t="s">
        <v>55</v>
      </c>
      <c r="D23" s="2">
        <v>1000</v>
      </c>
      <c r="E23" s="2" t="s">
        <v>17</v>
      </c>
    </row>
    <row r="24" spans="1:5" x14ac:dyDescent="0.35">
      <c r="A24" s="1" t="s">
        <v>15</v>
      </c>
      <c r="B24" s="1" t="s">
        <v>86</v>
      </c>
      <c r="C24" s="4" t="s">
        <v>56</v>
      </c>
      <c r="D24" s="2">
        <v>1000</v>
      </c>
      <c r="E24" s="2" t="s">
        <v>17</v>
      </c>
    </row>
    <row r="25" spans="1:5" x14ac:dyDescent="0.35">
      <c r="A25" s="1" t="s">
        <v>15</v>
      </c>
      <c r="B25" s="1" t="s">
        <v>86</v>
      </c>
      <c r="C25" s="5" t="s">
        <v>59</v>
      </c>
      <c r="D25" s="2">
        <v>1000</v>
      </c>
      <c r="E25" s="2" t="s">
        <v>17</v>
      </c>
    </row>
    <row r="26" spans="1:5" x14ac:dyDescent="0.35">
      <c r="A26" s="1" t="s">
        <v>39</v>
      </c>
      <c r="B26" s="1" t="s">
        <v>83</v>
      </c>
      <c r="C26" s="4" t="s">
        <v>38</v>
      </c>
      <c r="D26" s="2">
        <v>2000</v>
      </c>
      <c r="E26" s="2" t="s">
        <v>13</v>
      </c>
    </row>
    <row r="27" spans="1:5" x14ac:dyDescent="0.35">
      <c r="A27" s="1" t="s">
        <v>36</v>
      </c>
      <c r="B27" s="1" t="s">
        <v>86</v>
      </c>
      <c r="C27" s="4" t="s">
        <v>35</v>
      </c>
      <c r="D27" s="2">
        <v>2000</v>
      </c>
      <c r="E27" s="2" t="s">
        <v>13</v>
      </c>
    </row>
    <row r="28" spans="1:5" x14ac:dyDescent="0.35">
      <c r="A28" s="1" t="s">
        <v>15</v>
      </c>
      <c r="B28" s="1" t="s">
        <v>86</v>
      </c>
      <c r="C28" s="4" t="s">
        <v>37</v>
      </c>
      <c r="D28" s="2">
        <v>1000</v>
      </c>
      <c r="E28" s="2" t="s">
        <v>17</v>
      </c>
    </row>
    <row r="29" spans="1:5" x14ac:dyDescent="0.35">
      <c r="A29" s="1" t="s">
        <v>27</v>
      </c>
      <c r="B29" s="1" t="s">
        <v>86</v>
      </c>
      <c r="C29" s="4" t="s">
        <v>26</v>
      </c>
      <c r="D29" s="2">
        <v>500</v>
      </c>
      <c r="E29" s="2" t="s">
        <v>17</v>
      </c>
    </row>
    <row r="30" spans="1:5" x14ac:dyDescent="0.35">
      <c r="A30" s="1" t="s">
        <v>27</v>
      </c>
      <c r="B30" s="1" t="s">
        <v>86</v>
      </c>
      <c r="C30" s="5" t="s">
        <v>26</v>
      </c>
      <c r="D30" s="2">
        <v>500</v>
      </c>
      <c r="E30" s="2" t="s">
        <v>17</v>
      </c>
    </row>
    <row r="31" spans="1:5" x14ac:dyDescent="0.35">
      <c r="A31" s="1" t="s">
        <v>27</v>
      </c>
      <c r="B31" s="1" t="s">
        <v>86</v>
      </c>
      <c r="C31" s="5" t="s">
        <v>26</v>
      </c>
      <c r="D31" s="2">
        <v>500</v>
      </c>
      <c r="E31" s="2" t="s">
        <v>17</v>
      </c>
    </row>
    <row r="32" spans="1:5" x14ac:dyDescent="0.35">
      <c r="A32" s="1" t="s">
        <v>24</v>
      </c>
      <c r="B32" s="1" t="s">
        <v>83</v>
      </c>
      <c r="C32" s="4" t="s">
        <v>23</v>
      </c>
      <c r="D32" s="2">
        <v>300</v>
      </c>
      <c r="E32" s="2" t="s">
        <v>17</v>
      </c>
    </row>
    <row r="33" spans="1:5" x14ac:dyDescent="0.35">
      <c r="A33" s="1" t="s">
        <v>15</v>
      </c>
      <c r="B33" s="1" t="s">
        <v>86</v>
      </c>
      <c r="C33" s="5" t="s">
        <v>14</v>
      </c>
      <c r="D33" s="2">
        <v>554</v>
      </c>
      <c r="E33" s="2" t="s">
        <v>17</v>
      </c>
    </row>
    <row r="34" spans="1:5" x14ac:dyDescent="0.35">
      <c r="A34" s="1" t="s">
        <v>12</v>
      </c>
      <c r="B34" s="1" t="s">
        <v>83</v>
      </c>
      <c r="C34" s="5" t="s">
        <v>8</v>
      </c>
      <c r="D34" s="2">
        <v>1000</v>
      </c>
      <c r="E34" s="2" t="s">
        <v>13</v>
      </c>
    </row>
    <row r="35" spans="1:5" x14ac:dyDescent="0.35">
      <c r="A35" s="1" t="s">
        <v>15</v>
      </c>
      <c r="B35" s="1" t="s">
        <v>86</v>
      </c>
      <c r="C35" s="5" t="s">
        <v>18</v>
      </c>
      <c r="D35" s="2">
        <v>1285</v>
      </c>
      <c r="E35" s="2" t="s">
        <v>13</v>
      </c>
    </row>
    <row r="36" spans="1:5" x14ac:dyDescent="0.35">
      <c r="A36" s="1" t="s">
        <v>9</v>
      </c>
      <c r="B36" s="1" t="s">
        <v>83</v>
      </c>
      <c r="C36" s="4" t="s">
        <v>8</v>
      </c>
      <c r="D36" s="2">
        <v>1111</v>
      </c>
      <c r="E36" s="2" t="s">
        <v>11</v>
      </c>
    </row>
    <row r="37" spans="1:5" x14ac:dyDescent="0.35">
      <c r="A37" s="22" t="s">
        <v>106</v>
      </c>
      <c r="B37" s="1"/>
      <c r="C37" s="5" t="s">
        <v>102</v>
      </c>
      <c r="D37" s="2">
        <v>500</v>
      </c>
      <c r="E37" s="2" t="s">
        <v>107</v>
      </c>
    </row>
    <row r="38" spans="1:5" x14ac:dyDescent="0.35">
      <c r="A38" s="1" t="s">
        <v>103</v>
      </c>
      <c r="B38" s="1"/>
      <c r="C38" s="5" t="s">
        <v>102</v>
      </c>
      <c r="D38" s="2">
        <v>500</v>
      </c>
      <c r="E38" s="2" t="s">
        <v>11</v>
      </c>
    </row>
    <row r="39" spans="1:5" x14ac:dyDescent="0.35">
      <c r="A39" s="1" t="s">
        <v>104</v>
      </c>
      <c r="B39" s="1"/>
      <c r="C39" s="5" t="s">
        <v>102</v>
      </c>
      <c r="D39" s="2">
        <v>1000</v>
      </c>
      <c r="E39" s="2" t="s">
        <v>11</v>
      </c>
    </row>
    <row r="40" spans="1:5" x14ac:dyDescent="0.35">
      <c r="A40" s="1" t="s">
        <v>105</v>
      </c>
      <c r="B40" s="1"/>
      <c r="C40" s="5" t="s">
        <v>102</v>
      </c>
      <c r="D40" s="2">
        <v>1000</v>
      </c>
      <c r="E40" s="2" t="s">
        <v>108</v>
      </c>
    </row>
    <row r="41" spans="1:5" x14ac:dyDescent="0.35">
      <c r="A41" s="1" t="s">
        <v>57</v>
      </c>
      <c r="B41" s="1" t="s">
        <v>86</v>
      </c>
      <c r="C41" s="4" t="s">
        <v>56</v>
      </c>
      <c r="D41" s="6">
        <f>40000/43</f>
        <v>930.23255813953483</v>
      </c>
      <c r="E41" s="2" t="s">
        <v>22</v>
      </c>
    </row>
    <row r="42" spans="1:5" x14ac:dyDescent="0.35">
      <c r="A42" s="1" t="s">
        <v>109</v>
      </c>
      <c r="B42" s="1" t="s">
        <v>86</v>
      </c>
      <c r="C42" s="4" t="s">
        <v>32</v>
      </c>
      <c r="D42" s="2">
        <v>1000</v>
      </c>
      <c r="E42" s="2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Cálculo de custo de etiquetas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2026-08-20T19:18:13Z</dcterms:created>
  <dcterms:modified xsi:type="dcterms:W3CDTF">2026-08-28T20:10:36Z</dcterms:modified>
</cp:coreProperties>
</file>