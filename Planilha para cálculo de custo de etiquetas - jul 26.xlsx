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álculo de custo de etiquetas" sheetId="1" state="visible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0_ ;\-#,##0.00\ "/>
    <numFmt numFmtId="166" formatCode="_-* #,##0.00000000_-;\-* #,##0.00000000_-;_-* &quot;-&quot;??_-;_-@_-"/>
    <numFmt numFmtId="167" formatCode="_-* #,##0.0000_-;\-* #,##0.0000_-;_-* &quot;-&quot;??_-;_-@_-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43" fontId="1" fillId="0" borderId="0"/>
    <xf numFmtId="0" fontId="3" fillId="0" borderId="0"/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2">
      <alignment horizontal="center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4" fontId="0" fillId="0" borderId="1" pivotButton="0" quotePrefix="0" xfId="1"/>
    <xf numFmtId="0" fontId="3" fillId="0" borderId="1" applyAlignment="1" pivotButton="0" quotePrefix="0" xfId="2">
      <alignment horizontal="center"/>
    </xf>
    <xf numFmtId="164" fontId="0" fillId="0" borderId="1" pivotButton="0" quotePrefix="0" xfId="1"/>
    <xf numFmtId="164" fontId="0" fillId="0" borderId="0" pivotButton="0" quotePrefix="0" xfId="1"/>
    <xf numFmtId="165" fontId="0" fillId="0" borderId="1" pivotButton="0" quotePrefix="0" xfId="1"/>
    <xf numFmtId="0" fontId="0" fillId="0" borderId="1" pivotButton="0" quotePrefix="0" xfId="0"/>
    <xf numFmtId="166" fontId="0" fillId="0" borderId="1" pivotButton="0" quotePrefix="0" xfId="1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1"/>
    <xf numFmtId="167" fontId="0" fillId="3" borderId="1" pivotButton="0" quotePrefix="0" xfId="1"/>
    <xf numFmtId="0" fontId="0" fillId="0" borderId="0" applyAlignment="1" pivotButton="0" quotePrefix="0" xfId="0">
      <alignment horizontal="center"/>
    </xf>
    <xf numFmtId="0" fontId="0" fillId="4" borderId="1" pivotButton="0" quotePrefix="0" xfId="0"/>
    <xf numFmtId="0" fontId="0" fillId="0" borderId="2" applyAlignment="1" pivotButton="0" quotePrefix="0" xfId="0">
      <alignment horizontal="center"/>
    </xf>
    <xf numFmtId="164" fontId="0" fillId="0" borderId="0" pivotButton="0" quotePrefix="0" xfId="1"/>
    <xf numFmtId="164" fontId="0" fillId="0" borderId="1" pivotButton="0" quotePrefix="0" xfId="1"/>
    <xf numFmtId="165" fontId="0" fillId="0" borderId="1" pivotButton="0" quotePrefix="0" xfId="1"/>
    <xf numFmtId="164" fontId="0" fillId="3" borderId="1" pivotButton="0" quotePrefix="0" xfId="1"/>
    <xf numFmtId="167" fontId="0" fillId="3" borderId="1" pivotButton="0" quotePrefix="0" xfId="1"/>
    <xf numFmtId="164" fontId="0" fillId="2" borderId="1" pivotButton="0" quotePrefix="0" xfId="0"/>
    <xf numFmtId="164" fontId="0" fillId="0" borderId="1" pivotButton="0" quotePrefix="0" xfId="0"/>
    <xf numFmtId="2" fontId="0" fillId="2" borderId="1" pivotButton="0" quotePrefix="0" xfId="0"/>
  </cellXfs>
  <cellStyles count="3">
    <cellStyle name="Normal" xfId="0" builtinId="0"/>
    <cellStyle name="Vírgula" xfId="1" builtinId="3"/>
    <cellStyle name="Hi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RBT</author>
  </authors>
  <commentList>
    <comment ref="X39" authorId="0" shapeId="0">
      <text>
        <t>Corrigido: nr. rolos = 48 (antes 60) e área na mesma linha. Custo total R$ 2.868,85 (antes R$ 4.749,05 com 60 rolos e área da linha seguinte).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X1" sqref="X1"/>
    </sheetView>
  </sheetViews>
  <sheetFormatPr baseColWidth="8" defaultRowHeight="14.5"/>
  <cols>
    <col width="14.1796875" customWidth="1" min="1" max="1"/>
    <col width="36.453125" bestFit="1" customWidth="1" min="2" max="2"/>
    <col width="20.453125" customWidth="1" min="3" max="3"/>
    <col width="14.08984375" customWidth="1" min="4" max="9"/>
    <col width="34.1796875" customWidth="1" min="10" max="10"/>
    <col width="16.81640625" customWidth="1" min="11" max="11"/>
    <col width="26.08984375" customWidth="1" min="12" max="12"/>
    <col width="10" customWidth="1" min="13" max="13"/>
    <col width="15.6328125" customWidth="1" min="14" max="14"/>
    <col width="11.54296875" customWidth="1" min="15" max="15"/>
    <col width="18.453125" customWidth="1" min="16" max="16"/>
    <col width="8.7265625" customWidth="1" style="23" min="17" max="17"/>
    <col width="11.54296875" customWidth="1" min="18" max="18"/>
    <col width="14.81640625" customWidth="1" min="19" max="19"/>
    <col width="21.90625" bestFit="1" customWidth="1" min="20" max="20"/>
    <col width="15.90625" customWidth="1" min="21" max="21"/>
    <col width="11.26953125" bestFit="1" customWidth="1" min="22" max="22"/>
    <col width="19.54296875" customWidth="1" min="23" max="23"/>
  </cols>
  <sheetData>
    <row r="1">
      <c r="W1" s="20" t="n"/>
    </row>
    <row r="2">
      <c r="A2" s="1" t="inlineStr">
        <is>
          <t>NF</t>
        </is>
      </c>
      <c r="B2" s="11" t="inlineStr">
        <is>
          <t>Cliente</t>
        </is>
      </c>
      <c r="C2" s="11" t="inlineStr">
        <is>
          <t>metragem do rolo - m</t>
        </is>
      </c>
      <c r="D2" s="11" t="inlineStr">
        <is>
          <t>dimensões</t>
        </is>
      </c>
      <c r="E2" s="11" t="inlineStr">
        <is>
          <t>Largura</t>
        </is>
      </c>
      <c r="F2" s="11" t="inlineStr">
        <is>
          <t>Altura</t>
        </is>
      </c>
      <c r="G2" s="11" t="inlineStr">
        <is>
          <t>matéria prima</t>
        </is>
      </c>
      <c r="H2" s="11" t="inlineStr">
        <is>
          <t>Referência</t>
        </is>
      </c>
      <c r="I2" s="11" t="inlineStr">
        <is>
          <t>Fabricante matéria prima</t>
        </is>
      </c>
      <c r="J2" s="11" t="inlineStr">
        <is>
          <t>Material</t>
        </is>
      </c>
      <c r="K2" s="11" t="inlineStr">
        <is>
          <t>nr. rolos</t>
        </is>
      </c>
      <c r="L2" s="11" t="inlineStr">
        <is>
          <t>quantidade etiquetas por rolo</t>
        </is>
      </c>
      <c r="M2" s="11" t="inlineStr">
        <is>
          <t>tipo tubete</t>
        </is>
      </c>
      <c r="N2" s="21" t="inlineStr">
        <is>
          <t>matéria prima</t>
        </is>
      </c>
      <c r="O2" s="11" t="inlineStr">
        <is>
          <t>Embalagem</t>
        </is>
      </c>
      <c r="P2" s="11" t="inlineStr">
        <is>
          <t>Custo Embalagem</t>
        </is>
      </c>
      <c r="Q2" s="24" t="inlineStr">
        <is>
          <t>frete</t>
        </is>
      </c>
      <c r="R2" s="11" t="inlineStr">
        <is>
          <t>área etiqueta</t>
        </is>
      </c>
      <c r="S2" s="17" t="inlineStr">
        <is>
          <t>Custo por rolo</t>
        </is>
      </c>
      <c r="T2" s="17" t="inlineStr">
        <is>
          <t>custo embalagem por rolo</t>
        </is>
      </c>
      <c r="U2" s="17" t="inlineStr">
        <is>
          <t>Custo frete por rolo</t>
        </is>
      </c>
      <c r="V2" s="17" t="inlineStr">
        <is>
          <t>custo Tubete</t>
        </is>
      </c>
      <c r="W2" s="11" t="inlineStr">
        <is>
          <t>MP, Bem, frete, tubete</t>
        </is>
      </c>
      <c r="X2" s="11" t="inlineStr">
        <is>
          <t>Custo Final</t>
        </is>
      </c>
    </row>
    <row r="3">
      <c r="A3" s="7" t="n">
        <v>3572</v>
      </c>
      <c r="B3" s="5" t="inlineStr">
        <is>
          <t>NUTRISANTOS BOPP</t>
        </is>
      </c>
      <c r="C3" s="1" t="n">
        <v>2625</v>
      </c>
      <c r="D3" s="1" t="inlineStr">
        <is>
          <t>100 X 50</t>
        </is>
      </c>
      <c r="E3" s="1" t="n">
        <v>100</v>
      </c>
      <c r="F3" s="1" t="n">
        <v>50</v>
      </c>
      <c r="G3" s="1" t="inlineStr">
        <is>
          <t>BOPP</t>
        </is>
      </c>
      <c r="H3" s="1" t="inlineStr">
        <is>
          <t>AP718</t>
        </is>
      </c>
      <c r="I3" s="1" t="inlineStr">
        <is>
          <t>PROTACK</t>
        </is>
      </c>
      <c r="J3" s="5" t="inlineStr">
        <is>
          <t>BOPP PROTACK 212 X 1000 AP718</t>
        </is>
      </c>
      <c r="K3" s="11" t="n">
        <v>70</v>
      </c>
      <c r="L3" s="11" t="n">
        <v>1500</v>
      </c>
      <c r="M3" s="11" t="inlineStr">
        <is>
          <t>3 x 106</t>
        </is>
      </c>
      <c r="N3" s="21" t="n">
        <v>4.27</v>
      </c>
      <c r="O3" s="11" t="n">
        <v>7</v>
      </c>
      <c r="P3" s="11" t="n">
        <v>5.25</v>
      </c>
      <c r="Q3" s="25" t="n">
        <v>0</v>
      </c>
      <c r="R3" s="12">
        <f>((E3+6)*(F3+3))/1000000</f>
        <v/>
      </c>
      <c r="S3" s="26">
        <f>R3*N3*L3</f>
        <v/>
      </c>
      <c r="T3" s="27">
        <f>O3*P3/K3</f>
        <v/>
      </c>
      <c r="U3" s="26">
        <f>Q3/K3</f>
        <v/>
      </c>
      <c r="V3" s="17" t="n">
        <v>1.3945</v>
      </c>
      <c r="W3" s="28">
        <f>SUM(S3,T3,U3,V3)</f>
        <v/>
      </c>
      <c r="X3" s="28" t="n">
        <v>41.74316079295154</v>
      </c>
    </row>
    <row r="4">
      <c r="A4" s="7" t="n">
        <v>3577</v>
      </c>
      <c r="B4" s="5" t="inlineStr">
        <is>
          <t>FRANCAP</t>
        </is>
      </c>
      <c r="C4" s="1" t="n">
        <v>15875</v>
      </c>
      <c r="D4" s="1" t="inlineStr">
        <is>
          <t>80 X 125</t>
        </is>
      </c>
      <c r="E4" s="1" t="n">
        <v>80</v>
      </c>
      <c r="F4" s="1" t="n">
        <v>125</v>
      </c>
      <c r="G4" s="1" t="inlineStr">
        <is>
          <t>BOPP</t>
        </is>
      </c>
      <c r="H4" s="1" t="inlineStr">
        <is>
          <t>AP725</t>
        </is>
      </c>
      <c r="I4" s="1" t="inlineStr">
        <is>
          <t>PROTACK</t>
        </is>
      </c>
      <c r="J4" s="5" t="inlineStr">
        <is>
          <t>BOPP PROTACK 172 X 1000 AP725</t>
        </is>
      </c>
      <c r="K4" s="11" t="n">
        <v>250</v>
      </c>
      <c r="L4" s="11" t="n">
        <v>1000</v>
      </c>
      <c r="M4" s="11" t="inlineStr">
        <is>
          <t>3 x 86</t>
        </is>
      </c>
      <c r="N4" s="21" t="n">
        <v>4.45</v>
      </c>
      <c r="O4" s="11" t="n">
        <v>22</v>
      </c>
      <c r="P4" s="11" t="n">
        <v>5.25</v>
      </c>
      <c r="Q4" s="24" t="n">
        <v>140</v>
      </c>
      <c r="R4" s="12">
        <f>((E4+6)*(F4+3))/1000000</f>
        <v/>
      </c>
      <c r="S4" s="26">
        <f>R4*N4*L4</f>
        <v/>
      </c>
      <c r="T4" s="27">
        <f>O4*P4/K4</f>
        <v/>
      </c>
      <c r="U4" s="26">
        <f>Q4/K4</f>
        <v/>
      </c>
      <c r="V4" s="17" t="n">
        <v>1.1277</v>
      </c>
      <c r="W4" s="28">
        <f>SUM(S4,T4,U4,V4)</f>
        <v/>
      </c>
      <c r="X4" s="28" t="n">
        <v>56.31640969162996</v>
      </c>
    </row>
    <row r="5">
      <c r="A5" s="7" t="n">
        <v>3579</v>
      </c>
      <c r="B5" s="5" t="inlineStr">
        <is>
          <t>LABICON - TRINDADE</t>
        </is>
      </c>
      <c r="C5" s="1" t="n">
        <v>1900</v>
      </c>
      <c r="D5" s="1" t="inlineStr">
        <is>
          <t>50 X 30</t>
        </is>
      </c>
      <c r="E5" s="1" t="n">
        <v>50</v>
      </c>
      <c r="F5" s="1" t="n">
        <v>31</v>
      </c>
      <c r="G5" s="1" t="inlineStr">
        <is>
          <t>BOPP</t>
        </is>
      </c>
      <c r="H5" s="1" t="inlineStr">
        <is>
          <t>AP718</t>
        </is>
      </c>
      <c r="I5" s="1" t="inlineStr">
        <is>
          <t>PROTACK</t>
        </is>
      </c>
      <c r="J5" s="5" t="inlineStr">
        <is>
          <t>BOPP PROTACK 212 X 1000 AP718</t>
        </is>
      </c>
      <c r="K5" s="11" t="n">
        <v>130</v>
      </c>
      <c r="L5" s="11" t="n">
        <v>1200</v>
      </c>
      <c r="M5" s="11" t="inlineStr">
        <is>
          <t>1 x 56</t>
        </is>
      </c>
      <c r="N5" s="21" t="n">
        <v>4.27</v>
      </c>
      <c r="O5" s="11" t="n">
        <v>5</v>
      </c>
      <c r="P5" s="11" t="n">
        <v>5.25</v>
      </c>
      <c r="Q5" s="24" t="n">
        <v>15</v>
      </c>
      <c r="R5" s="12">
        <f>((E5+6)*(F5+3.57))/1000000</f>
        <v/>
      </c>
      <c r="S5" s="26">
        <f>R5*N5*L5</f>
        <v/>
      </c>
      <c r="T5" s="27">
        <f>O5*P5/K5</f>
        <v/>
      </c>
      <c r="U5" s="26">
        <f>Q5/K5</f>
        <v/>
      </c>
      <c r="V5" s="17" t="n">
        <v>0.1958</v>
      </c>
      <c r="W5" s="28">
        <f>SUM(S5,T5,U5,V5)</f>
        <v/>
      </c>
      <c r="X5" s="28" t="n">
        <v>11.48982574042697</v>
      </c>
    </row>
    <row r="6">
      <c r="A6" s="7" t="n">
        <v>3579</v>
      </c>
      <c r="B6" s="5" t="inlineStr">
        <is>
          <t>LABICON LARANJA</t>
        </is>
      </c>
      <c r="C6" s="1" t="n">
        <v>585</v>
      </c>
      <c r="D6" s="1" t="inlineStr">
        <is>
          <t>50 X 30</t>
        </is>
      </c>
      <c r="E6" s="1" t="n">
        <v>50</v>
      </c>
      <c r="F6" s="1" t="n">
        <v>31</v>
      </c>
      <c r="G6" s="1" t="inlineStr">
        <is>
          <t>BOPP</t>
        </is>
      </c>
      <c r="H6" s="1" t="inlineStr">
        <is>
          <t>ESTOQUE</t>
        </is>
      </c>
      <c r="I6" s="1" t="inlineStr">
        <is>
          <t>PROTACK</t>
        </is>
      </c>
      <c r="J6" s="5" t="inlineStr">
        <is>
          <t>REFILE QUE TINHA NO ESTOQUE</t>
        </is>
      </c>
      <c r="K6" s="11" t="n">
        <v>15</v>
      </c>
      <c r="L6" s="11" t="n">
        <v>1200</v>
      </c>
      <c r="M6" s="11" t="inlineStr">
        <is>
          <t>1 x 56</t>
        </is>
      </c>
      <c r="N6" s="21" t="n">
        <v>4.27</v>
      </c>
      <c r="O6" s="11" t="n">
        <v>1</v>
      </c>
      <c r="P6" s="11" t="n">
        <v>5.25</v>
      </c>
      <c r="Q6" s="24" t="n">
        <v>10</v>
      </c>
      <c r="R6" s="12">
        <f>((E6+6)*(F6+3.57))/1000000</f>
        <v/>
      </c>
      <c r="S6" s="26">
        <f>R6*N6*L6</f>
        <v/>
      </c>
      <c r="T6" s="27">
        <f>O6*P6/K6</f>
        <v/>
      </c>
      <c r="U6" s="26">
        <f>Q6/K6</f>
        <v/>
      </c>
      <c r="V6" s="17" t="n">
        <v>0.1958</v>
      </c>
      <c r="W6" s="28">
        <f>SUM(S6,T6,U6,V6)</f>
        <v/>
      </c>
      <c r="X6" s="28" t="n">
        <v>12.26004487518355</v>
      </c>
    </row>
    <row r="7">
      <c r="A7" s="7" t="n">
        <v>3583</v>
      </c>
      <c r="B7" s="5" t="inlineStr">
        <is>
          <t>IRMANDADE NOSSA SENHORA DAS DORES</t>
        </is>
      </c>
      <c r="C7" s="1" t="n">
        <v>2100</v>
      </c>
      <c r="D7" s="1" t="inlineStr">
        <is>
          <t>100 X 75</t>
        </is>
      </c>
      <c r="E7" s="1" t="n">
        <v>100</v>
      </c>
      <c r="F7" s="1" t="n">
        <v>75</v>
      </c>
      <c r="G7" s="1" t="inlineStr">
        <is>
          <t>Couche</t>
        </is>
      </c>
      <c r="H7" s="1" t="inlineStr">
        <is>
          <t>S2045</t>
        </is>
      </c>
      <c r="I7" s="1" t="inlineStr">
        <is>
          <t>FASSON</t>
        </is>
      </c>
      <c r="J7" s="5" t="inlineStr">
        <is>
          <t>COUCHE FASSON 212 x 1000 S2045</t>
        </is>
      </c>
      <c r="K7" s="11" t="n">
        <v>150</v>
      </c>
      <c r="L7" s="11" t="n">
        <v>358</v>
      </c>
      <c r="M7" s="11" t="inlineStr">
        <is>
          <t>1 x 106</t>
        </is>
      </c>
      <c r="N7" s="21" t="n">
        <v>3.25</v>
      </c>
      <c r="O7" s="11" t="n">
        <v>4</v>
      </c>
      <c r="P7" s="11" t="n">
        <v>5.25</v>
      </c>
      <c r="Q7" s="25" t="n">
        <v>0</v>
      </c>
      <c r="R7" s="12">
        <f>((E7+6)*(F7+3))/1000000</f>
        <v/>
      </c>
      <c r="S7" s="26">
        <f>R7*N7*L7</f>
        <v/>
      </c>
      <c r="T7" s="27">
        <f>O7*P7/K7</f>
        <v/>
      </c>
      <c r="U7" s="26">
        <f>Q7/K7</f>
        <v/>
      </c>
      <c r="V7" s="17" t="n">
        <v>0.3594</v>
      </c>
      <c r="W7" s="28">
        <f>SUM(S7,T7,U7,V7)</f>
        <v/>
      </c>
      <c r="X7" s="28" t="n">
        <v>11.14451321585903</v>
      </c>
    </row>
    <row r="8">
      <c r="A8" s="7" t="n">
        <v>3587</v>
      </c>
      <c r="B8" s="5" t="inlineStr">
        <is>
          <t>NUTRISANTOS COUCHE</t>
        </is>
      </c>
      <c r="C8" s="1" t="n">
        <v>1250</v>
      </c>
      <c r="D8" s="1" t="inlineStr">
        <is>
          <t>100 X 50</t>
        </is>
      </c>
      <c r="E8" s="1" t="n">
        <v>100</v>
      </c>
      <c r="F8" s="1" t="n">
        <v>50</v>
      </c>
      <c r="G8" s="1" t="inlineStr">
        <is>
          <t>Couche</t>
        </is>
      </c>
      <c r="H8" s="1" t="inlineStr">
        <is>
          <t>S2045</t>
        </is>
      </c>
      <c r="I8" s="1" t="inlineStr">
        <is>
          <t>FASSON</t>
        </is>
      </c>
      <c r="J8" s="5" t="inlineStr">
        <is>
          <t>COUCHE FASSON 212 X 1000 S2045</t>
        </is>
      </c>
      <c r="K8" s="11" t="n">
        <v>50</v>
      </c>
      <c r="L8" s="11" t="n">
        <v>1000</v>
      </c>
      <c r="M8" s="11" t="inlineStr">
        <is>
          <t>1 x 106</t>
        </is>
      </c>
      <c r="N8" s="21" t="n">
        <v>3.25</v>
      </c>
      <c r="O8" s="11" t="n">
        <v>3</v>
      </c>
      <c r="P8" s="11" t="n">
        <v>5.25</v>
      </c>
      <c r="Q8" s="25" t="n">
        <v>0</v>
      </c>
      <c r="R8" s="12">
        <f>((E8+6)*(F8+3))/1000000</f>
        <v/>
      </c>
      <c r="S8" s="26">
        <f>R8*N8*L8</f>
        <v/>
      </c>
      <c r="T8" s="27">
        <f>O8*P8/K8</f>
        <v/>
      </c>
      <c r="U8" s="26">
        <f>Q8/K8</f>
        <v/>
      </c>
      <c r="V8" s="17" t="n">
        <v>0.3594</v>
      </c>
      <c r="W8" s="28">
        <f>SUM(S8,T8,U8,V8)</f>
        <v/>
      </c>
      <c r="X8" s="28" t="n">
        <v>20.8512114537445</v>
      </c>
    </row>
    <row r="9">
      <c r="A9" s="7" t="n">
        <v>3588</v>
      </c>
      <c r="B9" s="5" t="inlineStr">
        <is>
          <t>NUTRISANTOS BOPP</t>
        </is>
      </c>
      <c r="C9" s="1" t="n">
        <v>6750</v>
      </c>
      <c r="D9" s="1" t="inlineStr">
        <is>
          <t>100 X 150</t>
        </is>
      </c>
      <c r="E9" s="1" t="n">
        <v>100</v>
      </c>
      <c r="F9" s="1" t="n">
        <v>151</v>
      </c>
      <c r="G9" s="1" t="inlineStr">
        <is>
          <t>BOPP</t>
        </is>
      </c>
      <c r="H9" s="1" t="inlineStr">
        <is>
          <t>AP718</t>
        </is>
      </c>
      <c r="I9" s="1" t="inlineStr">
        <is>
          <t>PROTACK</t>
        </is>
      </c>
      <c r="J9" s="5" t="inlineStr">
        <is>
          <t>BOPP PROTACK 212 X 1000 AP718</t>
        </is>
      </c>
      <c r="K9" s="11" t="n">
        <v>60</v>
      </c>
      <c r="L9" s="11" t="n">
        <v>1500</v>
      </c>
      <c r="M9" s="11" t="inlineStr">
        <is>
          <t>3 x 106</t>
        </is>
      </c>
      <c r="N9" s="21" t="n">
        <v>4.27</v>
      </c>
      <c r="O9" s="11" t="n">
        <v>15</v>
      </c>
      <c r="P9" s="11" t="n">
        <v>5.25</v>
      </c>
      <c r="Q9" s="25" t="n">
        <v>0</v>
      </c>
      <c r="R9" s="12">
        <f>((E9+6)*(F9+4.57))/1000000</f>
        <v/>
      </c>
      <c r="S9" s="26">
        <f>R9*N9*L9</f>
        <v/>
      </c>
      <c r="T9" s="27">
        <f>O9*P9/K9</f>
        <v/>
      </c>
      <c r="U9" s="26">
        <f>Q9/K9</f>
        <v/>
      </c>
      <c r="V9" s="17" t="n">
        <v>1.3945</v>
      </c>
      <c r="W9" s="28">
        <f>SUM(S9,T9,U9,V9)</f>
        <v/>
      </c>
      <c r="X9" s="28" t="n">
        <v>119.3041190528634</v>
      </c>
    </row>
    <row r="10">
      <c r="A10" s="7" t="n">
        <v>3592</v>
      </c>
      <c r="B10" s="5" t="inlineStr">
        <is>
          <t>LONAX</t>
        </is>
      </c>
      <c r="C10" s="1" t="n">
        <v>600</v>
      </c>
      <c r="D10" s="1" t="inlineStr">
        <is>
          <t>100 X 100</t>
        </is>
      </c>
      <c r="E10" s="1" t="n">
        <v>100</v>
      </c>
      <c r="F10" s="1" t="n">
        <v>100</v>
      </c>
      <c r="G10" s="1" t="inlineStr">
        <is>
          <t>BOPP</t>
        </is>
      </c>
      <c r="H10" s="1" t="inlineStr">
        <is>
          <t>AP718</t>
        </is>
      </c>
      <c r="I10" s="1" t="inlineStr">
        <is>
          <t>PROTACK</t>
        </is>
      </c>
      <c r="J10" s="5" t="inlineStr">
        <is>
          <t>BOPP PROTACK 212 X 1000 AP718</t>
        </is>
      </c>
      <c r="K10" s="11" t="n">
        <v>40</v>
      </c>
      <c r="L10" s="24">
        <f>30000/103</f>
        <v/>
      </c>
      <c r="M10" s="11" t="inlineStr">
        <is>
          <t>1 x 106</t>
        </is>
      </c>
      <c r="N10" s="21" t="n">
        <v>4.27</v>
      </c>
      <c r="O10" s="11" t="n">
        <v>1</v>
      </c>
      <c r="P10" s="11" t="n">
        <v>5.25</v>
      </c>
      <c r="Q10" s="24" t="n">
        <v>59.34</v>
      </c>
      <c r="R10" s="12">
        <f>((E10+6)*(F10+3))/1000000</f>
        <v/>
      </c>
      <c r="S10" s="26">
        <f>R10*N10*L10</f>
        <v/>
      </c>
      <c r="T10" s="27">
        <f>O10*P10/K10</f>
        <v/>
      </c>
      <c r="U10" s="26">
        <f>Q10/K10</f>
        <v/>
      </c>
      <c r="V10" s="17" t="n">
        <v>0.3594</v>
      </c>
      <c r="W10" s="28">
        <f>SUM(S10,T10,U10,V10)</f>
        <v/>
      </c>
      <c r="X10" s="28" t="n">
        <v>17.12857929515419</v>
      </c>
    </row>
    <row r="11">
      <c r="A11" s="7" t="n">
        <v>3595</v>
      </c>
      <c r="B11" s="5" t="inlineStr">
        <is>
          <t>IPSEMG</t>
        </is>
      </c>
      <c r="C11" s="1" t="n">
        <v>440</v>
      </c>
      <c r="D11" s="1" t="inlineStr">
        <is>
          <t>100 X 85</t>
        </is>
      </c>
      <c r="E11" s="1" t="n">
        <v>100</v>
      </c>
      <c r="F11" s="1" t="n">
        <v>90</v>
      </c>
      <c r="G11" s="1" t="inlineStr">
        <is>
          <t>Couche</t>
        </is>
      </c>
      <c r="H11" s="1" t="inlineStr">
        <is>
          <t>ADC5240</t>
        </is>
      </c>
      <c r="I11" s="1" t="inlineStr">
        <is>
          <t>COLACRIL</t>
        </is>
      </c>
      <c r="J11" s="5" t="inlineStr">
        <is>
          <t>COUCHE COLACRIL 212 x 1500 ADC5240</t>
        </is>
      </c>
      <c r="K11" s="11" t="n">
        <v>20</v>
      </c>
      <c r="L11" s="11" t="n">
        <v>500</v>
      </c>
      <c r="M11" s="11" t="inlineStr">
        <is>
          <t>1 x 106</t>
        </is>
      </c>
      <c r="N11" s="21" t="n">
        <v>3.26</v>
      </c>
      <c r="O11" s="11" t="n">
        <v>1</v>
      </c>
      <c r="P11" s="11" t="n">
        <v>5.25</v>
      </c>
      <c r="Q11" s="24" t="n">
        <v>20</v>
      </c>
      <c r="R11" s="12">
        <f>((E11+6)*(F11+3))/1000000</f>
        <v/>
      </c>
      <c r="S11" s="26">
        <f>R11*N11*L11</f>
        <v/>
      </c>
      <c r="T11" s="27">
        <f>O11*P11/K11</f>
        <v/>
      </c>
      <c r="U11" s="26">
        <f>Q11/K11</f>
        <v/>
      </c>
      <c r="V11" s="17" t="n">
        <v>0.3594</v>
      </c>
      <c r="W11" s="28">
        <f>SUM(S11,T11,U11,V11)</f>
        <v/>
      </c>
      <c r="X11" s="28" t="n">
        <v>19.48286343612335</v>
      </c>
    </row>
    <row r="12">
      <c r="A12" s="7" t="n">
        <v>3595</v>
      </c>
      <c r="B12" s="5" t="inlineStr">
        <is>
          <t>IPSEMG</t>
        </is>
      </c>
      <c r="C12" s="1" t="n">
        <v>410</v>
      </c>
      <c r="D12" s="1" t="inlineStr">
        <is>
          <t>48 X 33</t>
        </is>
      </c>
      <c r="E12" s="1" t="n">
        <v>48</v>
      </c>
      <c r="F12" s="1" t="n">
        <v>32</v>
      </c>
      <c r="G12" s="1" t="inlineStr">
        <is>
          <t>Couche</t>
        </is>
      </c>
      <c r="H12" s="1" t="inlineStr">
        <is>
          <t>ADC5240</t>
        </is>
      </c>
      <c r="I12" s="1" t="inlineStr">
        <is>
          <t>COLACRIL</t>
        </is>
      </c>
      <c r="J12" s="5" t="inlineStr">
        <is>
          <t>COUCHE COLACRIL 212 x 1500 ADC5240</t>
        </is>
      </c>
      <c r="K12" s="11" t="n">
        <v>20</v>
      </c>
      <c r="L12" s="11" t="n">
        <v>2500</v>
      </c>
      <c r="M12" s="11" t="inlineStr">
        <is>
          <t>1 x 106</t>
        </is>
      </c>
      <c r="N12" s="21" t="n">
        <v>3.26</v>
      </c>
      <c r="O12" s="11" t="n">
        <v>1</v>
      </c>
      <c r="P12" s="11" t="n">
        <v>5.25</v>
      </c>
      <c r="Q12" s="24" t="n">
        <v>25</v>
      </c>
      <c r="R12" s="12">
        <f>((E12+6)*(F12+3))/1000000</f>
        <v/>
      </c>
      <c r="S12" s="26">
        <f>R12*N12*L12</f>
        <v/>
      </c>
      <c r="T12" s="27">
        <f>O12*P12/K12</f>
        <v/>
      </c>
      <c r="U12" s="26">
        <f>Q12/K12</f>
        <v/>
      </c>
      <c r="V12" s="17" t="n">
        <v>0.1958</v>
      </c>
      <c r="W12" s="28">
        <f>SUM(S12,T12,U12,V12)</f>
        <v/>
      </c>
      <c r="X12" s="28" t="n">
        <v>18.84559471365638</v>
      </c>
    </row>
    <row r="13">
      <c r="A13" s="16" t="n">
        <v>1130</v>
      </c>
      <c r="B13" s="4" t="inlineStr">
        <is>
          <t>LABORCLINICA</t>
        </is>
      </c>
      <c r="C13" s="1" t="n">
        <v>2940</v>
      </c>
      <c r="D13" s="1" t="inlineStr">
        <is>
          <t>50 X 30</t>
        </is>
      </c>
      <c r="E13" s="1" t="n">
        <v>50</v>
      </c>
      <c r="F13" s="1" t="n">
        <v>31</v>
      </c>
      <c r="G13" s="1" t="inlineStr">
        <is>
          <t>Térmico</t>
        </is>
      </c>
      <c r="H13" s="1" t="inlineStr">
        <is>
          <t>HM 2520</t>
        </is>
      </c>
      <c r="I13" s="1" t="inlineStr">
        <is>
          <t>Térmico</t>
        </is>
      </c>
      <c r="J13" s="5" t="inlineStr">
        <is>
          <t>TERMICO 110 X 1000 HM2520</t>
        </is>
      </c>
      <c r="K13" s="11" t="n">
        <v>120</v>
      </c>
      <c r="L13" s="11" t="n">
        <v>1500</v>
      </c>
      <c r="M13" s="11" t="inlineStr">
        <is>
          <t>1 x 56</t>
        </is>
      </c>
      <c r="N13" s="21" t="n">
        <v>3.6</v>
      </c>
      <c r="O13" s="11" t="n">
        <v>3</v>
      </c>
      <c r="P13" s="11" t="n">
        <v>5.25</v>
      </c>
      <c r="Q13" s="24" t="n">
        <v>80</v>
      </c>
      <c r="R13" s="12">
        <f>((E13+6)*(F13+3.572))/1000000</f>
        <v/>
      </c>
      <c r="S13" s="26">
        <f>R13*N13*L13</f>
        <v/>
      </c>
      <c r="T13" s="27">
        <f>O13*P13/K13</f>
        <v/>
      </c>
      <c r="U13" s="26">
        <f>Q13/K13</f>
        <v/>
      </c>
      <c r="V13" s="17" t="n">
        <v>0.1958</v>
      </c>
      <c r="W13" s="28">
        <f>SUM(S13,T13,U13,V13)</f>
        <v/>
      </c>
      <c r="X13" s="28" t="n">
        <v>12.6082483113069</v>
      </c>
    </row>
    <row r="14">
      <c r="A14" s="15" t="n">
        <v>1131</v>
      </c>
      <c r="B14" s="4" t="inlineStr">
        <is>
          <t>TRIUNFO</t>
        </is>
      </c>
      <c r="C14" s="1" t="n">
        <v>500</v>
      </c>
      <c r="D14" s="1" t="inlineStr">
        <is>
          <t>100 X 40</t>
        </is>
      </c>
      <c r="E14" s="1" t="n">
        <v>100</v>
      </c>
      <c r="F14" s="1" t="n">
        <v>41</v>
      </c>
      <c r="G14" s="1" t="inlineStr">
        <is>
          <t>Couche</t>
        </is>
      </c>
      <c r="H14" s="1" t="inlineStr">
        <is>
          <t>S2045</t>
        </is>
      </c>
      <c r="I14" s="1" t="inlineStr">
        <is>
          <t>FASSON</t>
        </is>
      </c>
      <c r="J14" s="5" t="inlineStr">
        <is>
          <t>COUCHE FASSON 212 X 1000 S2045</t>
        </is>
      </c>
      <c r="K14" s="11" t="n">
        <v>25</v>
      </c>
      <c r="L14" s="11" t="n">
        <v>1000</v>
      </c>
      <c r="M14" s="11" t="inlineStr">
        <is>
          <t>1 x 106</t>
        </is>
      </c>
      <c r="N14" s="21" t="n">
        <v>3.25</v>
      </c>
      <c r="O14" s="11" t="n">
        <v>1</v>
      </c>
      <c r="P14" s="11" t="n">
        <v>5.25</v>
      </c>
      <c r="Q14" s="25" t="n">
        <v>0</v>
      </c>
      <c r="R14" s="12">
        <f>((E14+6)*(F14+3.45))/1000000</f>
        <v/>
      </c>
      <c r="S14" s="26">
        <f>R14*N14*L14</f>
        <v/>
      </c>
      <c r="T14" s="27">
        <f>O14*P14/K14</f>
        <v/>
      </c>
      <c r="U14" s="26">
        <f>Q14/K14</f>
        <v/>
      </c>
      <c r="V14" s="17" t="n">
        <v>0.3594</v>
      </c>
      <c r="W14" s="28">
        <f>SUM(S14,T14,U14,V14)</f>
        <v/>
      </c>
      <c r="X14" s="28" t="n">
        <v>17.49165748898679</v>
      </c>
    </row>
    <row r="15">
      <c r="A15" s="15" t="n">
        <v>1135</v>
      </c>
      <c r="B15" s="4" t="inlineStr">
        <is>
          <t>BASE</t>
        </is>
      </c>
      <c r="C15" s="1" t="n">
        <v>1920</v>
      </c>
      <c r="D15" s="1" t="inlineStr">
        <is>
          <t>80 X 125</t>
        </is>
      </c>
      <c r="E15" s="1" t="n">
        <v>80</v>
      </c>
      <c r="F15" s="1" t="n">
        <v>125</v>
      </c>
      <c r="G15" s="1" t="inlineStr">
        <is>
          <t>BOPP</t>
        </is>
      </c>
      <c r="H15" s="1" t="inlineStr">
        <is>
          <t>ADC3000</t>
        </is>
      </c>
      <c r="I15" s="1" t="inlineStr">
        <is>
          <t>COLACRIL</t>
        </is>
      </c>
      <c r="J15" s="5" t="inlineStr">
        <is>
          <t>BOPP COLACRIL 172 X 2000 ADC3000</t>
        </is>
      </c>
      <c r="K15" s="11" t="n">
        <v>30</v>
      </c>
      <c r="L15" s="11" t="n">
        <v>800</v>
      </c>
      <c r="M15" s="11" t="inlineStr">
        <is>
          <t>3 x 86</t>
        </is>
      </c>
      <c r="N15" s="21" t="n">
        <v>4.57</v>
      </c>
      <c r="O15" s="11" t="n">
        <v>3</v>
      </c>
      <c r="P15" s="11" t="n">
        <v>5.25</v>
      </c>
      <c r="Q15" s="24" t="n">
        <v>116</v>
      </c>
      <c r="R15" s="12">
        <f>((E15+6)*(F15+3.5875))/1000000</f>
        <v/>
      </c>
      <c r="S15" s="26">
        <f>R15*N15*L15</f>
        <v/>
      </c>
      <c r="T15" s="27">
        <f>O15*P15/K15</f>
        <v/>
      </c>
      <c r="U15" s="26">
        <f>Q15/K15</f>
        <v/>
      </c>
      <c r="V15" s="17" t="n">
        <v>1.1277</v>
      </c>
      <c r="W15" s="28">
        <f>SUM(S15,T15,U15,V15)</f>
        <v/>
      </c>
      <c r="X15" s="28" t="n">
        <v>50.60499346549192</v>
      </c>
    </row>
    <row r="16">
      <c r="A16" s="15" t="n">
        <v>1137</v>
      </c>
      <c r="B16" s="5" t="inlineStr">
        <is>
          <t>FRIGORIFICO ATALAIA</t>
        </is>
      </c>
      <c r="C16" s="1" t="n">
        <v>22400</v>
      </c>
      <c r="D16" s="1" t="inlineStr">
        <is>
          <t>100 X 70</t>
        </is>
      </c>
      <c r="E16" s="1" t="n">
        <v>100</v>
      </c>
      <c r="F16" s="1" t="n">
        <v>70</v>
      </c>
      <c r="G16" s="1" t="inlineStr">
        <is>
          <t>BOPP</t>
        </is>
      </c>
      <c r="H16" s="1" t="inlineStr">
        <is>
          <t>AP725</t>
        </is>
      </c>
      <c r="I16" s="1" t="inlineStr">
        <is>
          <t>PROTACK</t>
        </is>
      </c>
      <c r="J16" s="5" t="inlineStr">
        <is>
          <t>BOPP PROTACK 110 X 1000 AP725</t>
        </is>
      </c>
      <c r="K16" s="11" t="n">
        <v>320</v>
      </c>
      <c r="L16" s="11" t="n">
        <v>1000</v>
      </c>
      <c r="M16" s="11" t="inlineStr">
        <is>
          <t>1 x 106</t>
        </is>
      </c>
      <c r="N16" s="21" t="n">
        <v>4.45</v>
      </c>
      <c r="O16" s="11" t="n">
        <v>32</v>
      </c>
      <c r="P16" s="11" t="n">
        <v>5.25</v>
      </c>
      <c r="Q16" s="24" t="n">
        <v>360</v>
      </c>
      <c r="R16" s="12">
        <f>((E16+6)*(F16+3))/1000000</f>
        <v/>
      </c>
      <c r="S16" s="26">
        <f>R16*N16*L16</f>
        <v/>
      </c>
      <c r="T16" s="27">
        <f>O16*P16/K16</f>
        <v/>
      </c>
      <c r="U16" s="26">
        <f>Q16/K16</f>
        <v/>
      </c>
      <c r="V16" s="17" t="n">
        <v>0.3594</v>
      </c>
      <c r="W16" s="28">
        <f>SUM(S16,T16,U16,V16)</f>
        <v/>
      </c>
      <c r="X16" s="28" t="n">
        <v>40.13601321585903</v>
      </c>
    </row>
    <row r="17">
      <c r="A17" s="15" t="n">
        <v>1139</v>
      </c>
      <c r="B17" s="4" t="inlineStr">
        <is>
          <t>AUTOLOG VERMELHA</t>
        </is>
      </c>
      <c r="C17" s="1" t="n">
        <v>3150</v>
      </c>
      <c r="D17" s="1" t="inlineStr">
        <is>
          <t>100 x 100</t>
        </is>
      </c>
      <c r="E17" s="1" t="n">
        <v>100</v>
      </c>
      <c r="F17" s="1" t="n">
        <v>100</v>
      </c>
      <c r="G17" s="1" t="inlineStr">
        <is>
          <t>Couche</t>
        </is>
      </c>
      <c r="H17" s="1" t="inlineStr">
        <is>
          <t>ADC5240</t>
        </is>
      </c>
      <c r="I17" s="1" t="inlineStr">
        <is>
          <t>COLACRIL</t>
        </is>
      </c>
      <c r="J17" s="5" t="inlineStr">
        <is>
          <t xml:space="preserve">COUCHE COLACRIL 110 X 1500 ADC5240 </t>
        </is>
      </c>
      <c r="K17" s="11" t="n">
        <v>90</v>
      </c>
      <c r="L17" s="11" t="n">
        <v>340</v>
      </c>
      <c r="M17" s="11" t="inlineStr">
        <is>
          <t>1 x 106</t>
        </is>
      </c>
      <c r="N17" s="21" t="n">
        <v>3.26</v>
      </c>
      <c r="O17" s="11" t="n">
        <v>3</v>
      </c>
      <c r="P17" s="11" t="n">
        <v>5.25</v>
      </c>
      <c r="Q17" s="24" t="n">
        <v>40</v>
      </c>
      <c r="R17" s="12">
        <f>((E17+6)*(F17+3))/1000000</f>
        <v/>
      </c>
      <c r="S17" s="26">
        <f>R17*N17*L17</f>
        <v/>
      </c>
      <c r="T17" s="27">
        <f>O17*P17/K17</f>
        <v/>
      </c>
      <c r="U17" s="26">
        <f>Q17/K17</f>
        <v/>
      </c>
      <c r="V17" s="17" t="n">
        <v>0.3594</v>
      </c>
      <c r="W17" s="28">
        <f>SUM(S17,T17,U17,V17)</f>
        <v/>
      </c>
      <c r="X17" s="28" t="n">
        <v>14.40567802251591</v>
      </c>
    </row>
    <row r="18">
      <c r="A18" s="15" t="n">
        <v>1141</v>
      </c>
      <c r="B18" s="4" t="inlineStr">
        <is>
          <t>EXPEDIDO - EI BELEZA</t>
        </is>
      </c>
      <c r="C18" s="1" t="n">
        <v>11400</v>
      </c>
      <c r="D18" s="1" t="inlineStr">
        <is>
          <t>100 X 150</t>
        </is>
      </c>
      <c r="E18" s="1" t="n">
        <v>100</v>
      </c>
      <c r="F18" s="1" t="n">
        <v>150</v>
      </c>
      <c r="G18" s="1" t="inlineStr">
        <is>
          <t>Couche</t>
        </is>
      </c>
      <c r="H18" s="1" t="inlineStr">
        <is>
          <t>ADC5240</t>
        </is>
      </c>
      <c r="I18" s="1" t="inlineStr">
        <is>
          <t>COLACRIL</t>
        </is>
      </c>
      <c r="J18" s="5" t="inlineStr">
        <is>
          <t xml:space="preserve">COUCHE COLACRIL 212 x 1500 ADC5240 </t>
        </is>
      </c>
      <c r="K18" s="11" t="n">
        <v>760</v>
      </c>
      <c r="L18" s="11" t="n">
        <v>200</v>
      </c>
      <c r="M18" s="11" t="inlineStr">
        <is>
          <t>1 x 106</t>
        </is>
      </c>
      <c r="N18" s="21" t="n">
        <v>3.26</v>
      </c>
      <c r="O18" s="11" t="n">
        <v>32</v>
      </c>
      <c r="P18" s="11" t="n">
        <v>5.25</v>
      </c>
      <c r="Q18" s="24" t="n">
        <v>170</v>
      </c>
      <c r="R18" s="12">
        <f>((E18+6)*(F18+3))/1000000</f>
        <v/>
      </c>
      <c r="S18" s="26">
        <f>R18*N18*L18</f>
        <v/>
      </c>
      <c r="T18" s="27">
        <f>O18*P18/K18</f>
        <v/>
      </c>
      <c r="U18" s="26">
        <f>Q18/K18</f>
        <v/>
      </c>
      <c r="V18" s="17" t="n">
        <v>0.3594</v>
      </c>
      <c r="W18" s="28">
        <f>SUM(S18,T18,U18,V18)</f>
        <v/>
      </c>
      <c r="X18" s="28" t="n">
        <v>12.53113749130535</v>
      </c>
    </row>
    <row r="19">
      <c r="A19" s="15" t="n">
        <v>1142</v>
      </c>
      <c r="B19" s="4" t="inlineStr">
        <is>
          <t>FIGUEIREDO SM</t>
        </is>
      </c>
      <c r="C19" s="1" t="n">
        <v>410</v>
      </c>
      <c r="D19" s="1" t="inlineStr">
        <is>
          <t>100 X 80</t>
        </is>
      </c>
      <c r="E19" s="1" t="n">
        <v>100</v>
      </c>
      <c r="F19" s="1" t="n">
        <v>80</v>
      </c>
      <c r="G19" s="1" t="inlineStr">
        <is>
          <t>BOPP</t>
        </is>
      </c>
      <c r="H19" s="1" t="inlineStr">
        <is>
          <t>AP718</t>
        </is>
      </c>
      <c r="I19" s="1" t="inlineStr">
        <is>
          <t>PROTACK</t>
        </is>
      </c>
      <c r="J19" s="5" t="inlineStr">
        <is>
          <t>BOPP PROTACK 212 X 1000 AP718</t>
        </is>
      </c>
      <c r="K19" s="11" t="n">
        <v>21</v>
      </c>
      <c r="L19" s="11" t="n">
        <v>470</v>
      </c>
      <c r="M19" s="11" t="inlineStr">
        <is>
          <t>1 x 106</t>
        </is>
      </c>
      <c r="N19" s="21" t="n">
        <v>4.27</v>
      </c>
      <c r="O19" s="11" t="n">
        <v>1</v>
      </c>
      <c r="P19" s="11" t="n">
        <v>5.25</v>
      </c>
      <c r="Q19" s="24" t="n">
        <v>40</v>
      </c>
      <c r="R19" s="12">
        <f>((E19+6)*(F19+2.55))/1000000</f>
        <v/>
      </c>
      <c r="S19" s="26">
        <f>R19*N19*L19</f>
        <v/>
      </c>
      <c r="T19" s="27">
        <f>O19*P19/K19</f>
        <v/>
      </c>
      <c r="U19" s="26">
        <f>Q19/K19</f>
        <v/>
      </c>
      <c r="V19" s="17" t="n">
        <v>0.3594</v>
      </c>
      <c r="W19" s="28">
        <f>SUM(S19,T19,U19,V19)</f>
        <v/>
      </c>
      <c r="X19" s="28" t="n">
        <v>22.10918389290958</v>
      </c>
    </row>
    <row r="20">
      <c r="A20" s="16" t="n">
        <v>1143</v>
      </c>
      <c r="B20" s="4" t="inlineStr">
        <is>
          <t>Vetor Distribuidora</t>
        </is>
      </c>
      <c r="C20" s="1" t="n">
        <v>775</v>
      </c>
      <c r="D20" s="1" t="inlineStr">
        <is>
          <t>100 X 100</t>
        </is>
      </c>
      <c r="E20" s="1" t="n">
        <v>100</v>
      </c>
      <c r="F20" s="1" t="n">
        <v>100</v>
      </c>
      <c r="G20" s="1" t="inlineStr">
        <is>
          <t>Couche</t>
        </is>
      </c>
      <c r="H20" s="1" t="inlineStr">
        <is>
          <t>S2045</t>
        </is>
      </c>
      <c r="I20" s="1" t="inlineStr">
        <is>
          <t>FASSON</t>
        </is>
      </c>
      <c r="J20" s="5" t="inlineStr">
        <is>
          <t>BOPP PROTACK 110 X 1000 AP725</t>
        </is>
      </c>
      <c r="K20" s="11" t="n">
        <v>50</v>
      </c>
      <c r="L20" s="11" t="n">
        <v>310</v>
      </c>
      <c r="M20" s="11" t="inlineStr">
        <is>
          <t>1 x 106</t>
        </is>
      </c>
      <c r="N20" s="21" t="n">
        <v>4.45</v>
      </c>
      <c r="O20" s="11" t="n">
        <v>2</v>
      </c>
      <c r="P20" s="11" t="n">
        <v>5.25</v>
      </c>
      <c r="Q20" s="24" t="n">
        <v>35</v>
      </c>
      <c r="R20" s="12">
        <f>((E20+6)*(F20+3.6726))/1000000</f>
        <v/>
      </c>
      <c r="S20" s="26">
        <f>R20*N20*L20</f>
        <v/>
      </c>
      <c r="T20" s="27">
        <f>O20*P20/K20</f>
        <v/>
      </c>
      <c r="U20" s="26">
        <f>Q20/K20</f>
        <v/>
      </c>
      <c r="V20" s="17" t="n">
        <v>0.3594</v>
      </c>
      <c r="W20" s="28">
        <f>SUM(S20,T20,U20,V20)</f>
        <v/>
      </c>
      <c r="X20" s="28" t="n">
        <v>18.093759119163</v>
      </c>
    </row>
    <row r="21">
      <c r="A21" s="16" t="n">
        <v>1145</v>
      </c>
      <c r="B21" s="4" t="inlineStr">
        <is>
          <t>DIAGNOSTICA NOVA LIMA</t>
        </is>
      </c>
      <c r="C21" s="1" t="n">
        <v>160</v>
      </c>
      <c r="D21" s="1" t="inlineStr">
        <is>
          <t xml:space="preserve">100 x 30 </t>
        </is>
      </c>
      <c r="E21" s="1" t="n">
        <v>100</v>
      </c>
      <c r="F21" s="1" t="n">
        <v>31</v>
      </c>
      <c r="G21" s="1" t="inlineStr">
        <is>
          <t>Couche</t>
        </is>
      </c>
      <c r="H21" s="1" t="inlineStr">
        <is>
          <t>ADC5240</t>
        </is>
      </c>
      <c r="I21" s="1" t="inlineStr">
        <is>
          <t>COLACRIL</t>
        </is>
      </c>
      <c r="J21" s="5" t="inlineStr">
        <is>
          <t>COUCHE COLACRIL 110 X 1500 ADC5240</t>
        </is>
      </c>
      <c r="K21" s="11" t="n">
        <v>10</v>
      </c>
      <c r="L21" s="11" t="n">
        <v>500</v>
      </c>
      <c r="M21" s="11" t="inlineStr">
        <is>
          <t>1 x 106</t>
        </is>
      </c>
      <c r="N21" s="21" t="n">
        <v>3.26</v>
      </c>
      <c r="O21" s="11" t="n">
        <v>1</v>
      </c>
      <c r="P21" s="11" t="n">
        <v>5.25</v>
      </c>
      <c r="Q21" s="24" t="n">
        <v>20</v>
      </c>
      <c r="R21" s="12">
        <f>((E21+6)*(F21+3.5722))/1000000</f>
        <v/>
      </c>
      <c r="S21" s="26">
        <f>R21*N21*L21</f>
        <v/>
      </c>
      <c r="T21" s="27">
        <f>O21*P21/K21</f>
        <v/>
      </c>
      <c r="U21" s="26">
        <f>Q21/K21</f>
        <v/>
      </c>
      <c r="V21" s="17" t="n">
        <v>0.3594</v>
      </c>
      <c r="W21" s="29">
        <f>SUM(S21,T21,U21,V21)</f>
        <v/>
      </c>
      <c r="X21" s="28" t="n">
        <v>9.755269511013218</v>
      </c>
    </row>
    <row r="22">
      <c r="A22" s="16" t="n">
        <v>1145</v>
      </c>
      <c r="B22" s="5" t="inlineStr">
        <is>
          <t>DIAGNOSTICA NOVA LIMA</t>
        </is>
      </c>
      <c r="C22" s="1" t="n">
        <v>2250</v>
      </c>
      <c r="D22" s="1" t="inlineStr">
        <is>
          <t>90 X 60</t>
        </is>
      </c>
      <c r="E22" s="1" t="n">
        <v>90</v>
      </c>
      <c r="F22" s="1" t="n">
        <v>59</v>
      </c>
      <c r="G22" s="1" t="inlineStr">
        <is>
          <t>Couche</t>
        </is>
      </c>
      <c r="H22" s="1" t="inlineStr">
        <is>
          <t>ADC5240</t>
        </is>
      </c>
      <c r="I22" s="1" t="inlineStr">
        <is>
          <t>COLACRIL</t>
        </is>
      </c>
      <c r="J22" s="5" t="inlineStr">
        <is>
          <t>COUCHE COLACRIL 212 x 1500 ADC5240</t>
        </is>
      </c>
      <c r="K22" s="11" t="n">
        <v>150</v>
      </c>
      <c r="L22" s="11" t="n">
        <v>500</v>
      </c>
      <c r="M22" s="11" t="inlineStr">
        <is>
          <t>1 x 96</t>
        </is>
      </c>
      <c r="N22" s="21" t="n">
        <v>3.26</v>
      </c>
      <c r="O22" s="11" t="n">
        <v>4</v>
      </c>
      <c r="P22" s="11" t="n">
        <v>5.25</v>
      </c>
      <c r="Q22" s="24" t="n">
        <v>160</v>
      </c>
      <c r="R22" s="12">
        <f>((E22+6)*(F22+3.22))/1000000</f>
        <v/>
      </c>
      <c r="S22" s="26">
        <f>R22*N22*L22</f>
        <v/>
      </c>
      <c r="T22" s="27">
        <f>O22*P22/K22</f>
        <v/>
      </c>
      <c r="U22" s="26">
        <f>Q22/K22</f>
        <v/>
      </c>
      <c r="V22" s="17" t="n">
        <v>0.3228</v>
      </c>
      <c r="W22" s="29">
        <f>SUM(S22,T22,U22,V22)</f>
        <v/>
      </c>
      <c r="X22" s="28" t="n">
        <v>12.407106020558</v>
      </c>
    </row>
    <row r="23">
      <c r="A23" s="15" t="n">
        <v>1146</v>
      </c>
      <c r="B23" s="4" t="inlineStr">
        <is>
          <t>INJEX VERMELHA</t>
        </is>
      </c>
      <c r="C23" s="1" t="n">
        <v>2800</v>
      </c>
      <c r="D23" s="1" t="inlineStr">
        <is>
          <t>100 X 70</t>
        </is>
      </c>
      <c r="E23" s="1" t="n">
        <v>100</v>
      </c>
      <c r="F23" s="1" t="n">
        <v>70</v>
      </c>
      <c r="G23" s="1" t="inlineStr">
        <is>
          <t>Couche</t>
        </is>
      </c>
      <c r="H23" s="1" t="inlineStr">
        <is>
          <t>ADC5240</t>
        </is>
      </c>
      <c r="I23" s="1" t="inlineStr">
        <is>
          <t>COLACRIL</t>
        </is>
      </c>
      <c r="J23" s="5" t="inlineStr">
        <is>
          <t xml:space="preserve">COUCHE COLACRIL 110 X 1500 ADC5240 </t>
        </is>
      </c>
      <c r="K23" s="11" t="n">
        <v>40</v>
      </c>
      <c r="L23" s="11" t="n">
        <v>1000</v>
      </c>
      <c r="M23" s="11" t="inlineStr">
        <is>
          <t>1 x 106</t>
        </is>
      </c>
      <c r="N23" s="21" t="n">
        <v>3.26</v>
      </c>
      <c r="O23" s="11" t="n">
        <v>3</v>
      </c>
      <c r="P23" s="11" t="n">
        <v>5.25</v>
      </c>
      <c r="Q23" s="24" t="n">
        <v>99.40000000000001</v>
      </c>
      <c r="R23" s="12">
        <f>((E23+6)*(F23+3))/1000000</f>
        <v/>
      </c>
      <c r="S23" s="26">
        <f>R23*N23*L23</f>
        <v/>
      </c>
      <c r="T23" s="27">
        <f>O23*P23/K23</f>
        <v/>
      </c>
      <c r="U23" s="26">
        <f>Q23/K23</f>
        <v/>
      </c>
      <c r="V23" s="17" t="n">
        <v>0.3594</v>
      </c>
      <c r="W23" s="28">
        <f>SUM(S23,T23,U23,V23)</f>
        <v/>
      </c>
      <c r="X23" s="28" t="n">
        <v>31.34805066079295</v>
      </c>
    </row>
    <row r="24">
      <c r="A24" s="15" t="n">
        <v>1147</v>
      </c>
      <c r="B24" s="4" t="inlineStr">
        <is>
          <t>INJEX</t>
        </is>
      </c>
      <c r="C24" s="1" t="n">
        <v>8400</v>
      </c>
      <c r="D24" s="1" t="inlineStr">
        <is>
          <t>100 X 70</t>
        </is>
      </c>
      <c r="E24" s="1" t="n">
        <v>100</v>
      </c>
      <c r="F24" s="1" t="n">
        <v>70</v>
      </c>
      <c r="G24" s="1" t="inlineStr">
        <is>
          <t>Couche</t>
        </is>
      </c>
      <c r="H24" s="1" t="inlineStr">
        <is>
          <t>ADC5240</t>
        </is>
      </c>
      <c r="I24" s="1" t="inlineStr">
        <is>
          <t>COLACRIL</t>
        </is>
      </c>
      <c r="J24" s="5" t="inlineStr">
        <is>
          <t xml:space="preserve">COUCHE COLACRIL 110 X 1500 ADC5240 </t>
        </is>
      </c>
      <c r="K24" s="11" t="n">
        <v>120</v>
      </c>
      <c r="L24" s="11" t="n">
        <v>1000</v>
      </c>
      <c r="M24" s="11" t="inlineStr">
        <is>
          <t>1 x 106</t>
        </is>
      </c>
      <c r="N24" s="21" t="n">
        <v>3.26</v>
      </c>
      <c r="O24" s="11" t="n">
        <v>9</v>
      </c>
      <c r="P24" s="11" t="n">
        <v>5.25</v>
      </c>
      <c r="Q24" s="24" t="n">
        <v>172.35</v>
      </c>
      <c r="R24" s="12">
        <f>((E24+6)*(F24+3))/1000000</f>
        <v/>
      </c>
      <c r="S24" s="26">
        <f>R24*N24*L24</f>
        <v/>
      </c>
      <c r="T24" s="27">
        <f>O24*P24/K24</f>
        <v/>
      </c>
      <c r="U24" s="26">
        <f>Q24/K24</f>
        <v/>
      </c>
      <c r="V24" s="17" t="n">
        <v>0.3594</v>
      </c>
      <c r="W24" s="28">
        <f>SUM(S24,T24,U24,V24)</f>
        <v/>
      </c>
      <c r="X24" s="28" t="n">
        <v>30.19303964757709</v>
      </c>
    </row>
    <row r="25">
      <c r="A25" s="15" t="n">
        <v>1147</v>
      </c>
      <c r="B25" s="5" t="inlineStr">
        <is>
          <t>INJEX AZUL</t>
        </is>
      </c>
      <c r="C25" s="1" t="n">
        <v>2800</v>
      </c>
      <c r="D25" s="1" t="inlineStr">
        <is>
          <t>100 X 70</t>
        </is>
      </c>
      <c r="E25" s="1" t="n">
        <v>100</v>
      </c>
      <c r="F25" s="1" t="n">
        <v>70</v>
      </c>
      <c r="G25" s="1" t="inlineStr">
        <is>
          <t>Couche</t>
        </is>
      </c>
      <c r="H25" s="1" t="inlineStr">
        <is>
          <t>ADC5240</t>
        </is>
      </c>
      <c r="I25" s="1" t="inlineStr">
        <is>
          <t>COLACRIL</t>
        </is>
      </c>
      <c r="J25" s="5" t="inlineStr">
        <is>
          <t xml:space="preserve">COUCHE COLACRIL 110 X 1500 ADC5240 </t>
        </is>
      </c>
      <c r="K25" s="11" t="n">
        <v>40</v>
      </c>
      <c r="L25" s="11" t="n">
        <v>1000</v>
      </c>
      <c r="M25" s="11" t="inlineStr">
        <is>
          <t>1 x 106</t>
        </is>
      </c>
      <c r="N25" s="21" t="n">
        <v>3.26</v>
      </c>
      <c r="O25" s="11" t="n">
        <v>3</v>
      </c>
      <c r="P25" s="11" t="n">
        <v>5.25</v>
      </c>
      <c r="Q25" s="24" t="n">
        <v>170</v>
      </c>
      <c r="R25" s="12">
        <f>((E25+6)*(F25+3))/1000000</f>
        <v/>
      </c>
      <c r="S25" s="26">
        <f>R25*N25*L25</f>
        <v/>
      </c>
      <c r="T25" s="27">
        <f>O25*P25/K25</f>
        <v/>
      </c>
      <c r="U25" s="26">
        <f>Q25/K25</f>
        <v/>
      </c>
      <c r="V25" s="17" t="n">
        <v>0.3594</v>
      </c>
      <c r="W25" s="28">
        <f>SUM(S25,T25,U25,V25)</f>
        <v/>
      </c>
      <c r="X25" s="28" t="n">
        <v>33.29188325991189</v>
      </c>
    </row>
    <row r="26">
      <c r="A26" s="15" t="n">
        <v>1149</v>
      </c>
      <c r="B26" s="4" t="inlineStr">
        <is>
          <t>FRIGORIFICO ATALAIA</t>
        </is>
      </c>
      <c r="C26" s="1" t="n">
        <v>4800</v>
      </c>
      <c r="D26" s="1" t="inlineStr">
        <is>
          <t>100 X 40</t>
        </is>
      </c>
      <c r="E26" s="1" t="n">
        <v>100</v>
      </c>
      <c r="F26" s="1" t="n">
        <v>40</v>
      </c>
      <c r="G26" s="1" t="inlineStr">
        <is>
          <t>BOPP</t>
        </is>
      </c>
      <c r="H26" s="1" t="inlineStr">
        <is>
          <t>AP725</t>
        </is>
      </c>
      <c r="I26" s="1" t="inlineStr">
        <is>
          <t>PROTACK</t>
        </is>
      </c>
      <c r="J26" s="5" t="inlineStr">
        <is>
          <t>BOPP PROTACK AP725</t>
        </is>
      </c>
      <c r="K26" s="11" t="n">
        <v>60</v>
      </c>
      <c r="L26" s="11" t="n">
        <v>2000</v>
      </c>
      <c r="M26" s="11" t="inlineStr">
        <is>
          <t>3 x 106</t>
        </is>
      </c>
      <c r="N26" s="21" t="n">
        <v>4.45</v>
      </c>
      <c r="O26" s="11" t="n">
        <v>6</v>
      </c>
      <c r="P26" s="11" t="n">
        <v>5.25</v>
      </c>
      <c r="Q26" s="24" t="n">
        <v>99.04000000000001</v>
      </c>
      <c r="R26" s="12">
        <f>((E26+6)*(F26+3))/1000000</f>
        <v/>
      </c>
      <c r="S26" s="26">
        <f>R26*N26*L26</f>
        <v/>
      </c>
      <c r="T26" s="27">
        <f>O26*P26/K26</f>
        <v/>
      </c>
      <c r="U26" s="26">
        <f>Q26/K26</f>
        <v/>
      </c>
      <c r="V26" s="17" t="n">
        <v>1.3945</v>
      </c>
      <c r="W26" s="28">
        <f>SUM(S26,T26,U26,V26)</f>
        <v/>
      </c>
      <c r="X26" s="28" t="n">
        <v>48.60833333333333</v>
      </c>
    </row>
    <row r="27">
      <c r="A27" s="15" t="n">
        <v>1150</v>
      </c>
      <c r="B27" s="4" t="inlineStr">
        <is>
          <t>BASE</t>
        </is>
      </c>
      <c r="C27" s="1" t="n">
        <v>3000</v>
      </c>
      <c r="D27" s="1" t="inlineStr">
        <is>
          <t>100 X 50</t>
        </is>
      </c>
      <c r="E27" s="1" t="n">
        <v>100</v>
      </c>
      <c r="F27" s="1" t="n">
        <v>49</v>
      </c>
      <c r="G27" s="1" t="inlineStr">
        <is>
          <t>Couche</t>
        </is>
      </c>
      <c r="H27" s="1" t="inlineStr">
        <is>
          <t>ADC5240</t>
        </is>
      </c>
      <c r="I27" s="1" t="inlineStr">
        <is>
          <t>COLACRIL</t>
        </is>
      </c>
      <c r="J27" s="5" t="inlineStr">
        <is>
          <t>COUCHE COLACRIL 212 x 1500 ADC5240</t>
        </is>
      </c>
      <c r="K27" s="11" t="n">
        <v>60</v>
      </c>
      <c r="L27" s="11" t="n">
        <v>2000</v>
      </c>
      <c r="M27" s="11" t="inlineStr">
        <is>
          <t>3 x 106</t>
        </is>
      </c>
      <c r="N27" s="21" t="n">
        <v>3.26</v>
      </c>
      <c r="O27" s="11" t="n">
        <v>9</v>
      </c>
      <c r="P27" s="11" t="n">
        <v>5.25</v>
      </c>
      <c r="Q27" s="24" t="n">
        <v>205</v>
      </c>
      <c r="R27" s="12">
        <f>((E27+6)*(F27+2.85))/1000000</f>
        <v/>
      </c>
      <c r="S27" s="26">
        <f>R27*N27*L27</f>
        <v/>
      </c>
      <c r="T27" s="27">
        <f>O27*P27/K27</f>
        <v/>
      </c>
      <c r="U27" s="26">
        <f>Q27/K27</f>
        <v/>
      </c>
      <c r="V27" s="17" t="n">
        <v>1.3945</v>
      </c>
      <c r="W27" s="28">
        <f>SUM(S27,T27,U27,V27)</f>
        <v/>
      </c>
      <c r="X27" s="28" t="n">
        <v>45.6313201174743</v>
      </c>
    </row>
    <row r="28">
      <c r="A28" s="15" t="n">
        <v>1152</v>
      </c>
      <c r="B28" s="4" t="inlineStr">
        <is>
          <t>INJEX ROSA</t>
        </is>
      </c>
      <c r="C28" s="1" t="n">
        <v>4200</v>
      </c>
      <c r="D28" s="1" t="inlineStr">
        <is>
          <t>100 X 70</t>
        </is>
      </c>
      <c r="E28" s="1" t="n">
        <v>100</v>
      </c>
      <c r="F28" s="1" t="n">
        <v>70</v>
      </c>
      <c r="G28" s="1" t="inlineStr">
        <is>
          <t>Couche</t>
        </is>
      </c>
      <c r="H28" s="1" t="inlineStr">
        <is>
          <t>ADC5240</t>
        </is>
      </c>
      <c r="I28" s="1" t="inlineStr">
        <is>
          <t>COLACRIL</t>
        </is>
      </c>
      <c r="J28" s="5" t="inlineStr">
        <is>
          <t xml:space="preserve">COUCHE COLACRIL 110 X 1500 ADC5240 </t>
        </is>
      </c>
      <c r="K28" s="11" t="n">
        <v>60</v>
      </c>
      <c r="L28" s="11" t="n">
        <v>1000</v>
      </c>
      <c r="M28" s="11" t="inlineStr">
        <is>
          <t>1 x 106</t>
        </is>
      </c>
      <c r="N28" s="21" t="n">
        <v>3.26</v>
      </c>
      <c r="O28" s="11" t="n">
        <v>4</v>
      </c>
      <c r="P28" s="11" t="n">
        <v>5.25</v>
      </c>
      <c r="Q28" s="24" t="n">
        <v>129.6</v>
      </c>
      <c r="R28" s="12">
        <f>((E28+6)*(F28+3))/1000000</f>
        <v/>
      </c>
      <c r="S28" s="26">
        <f>R28*N28*L28</f>
        <v/>
      </c>
      <c r="T28" s="27">
        <f>O28*P28/K28</f>
        <v/>
      </c>
      <c r="U28" s="26">
        <f>Q28/K28</f>
        <v/>
      </c>
      <c r="V28" s="17" t="n">
        <v>0.3594</v>
      </c>
      <c r="W28" s="28">
        <f>SUM(S28,T28,U28,V28)</f>
        <v/>
      </c>
      <c r="X28" s="28" t="n">
        <v>30.94193832599119</v>
      </c>
    </row>
    <row r="29">
      <c r="A29" s="15" t="n">
        <v>1158</v>
      </c>
      <c r="B29" s="4" t="inlineStr">
        <is>
          <t>SANTA CRUZ ACABAMENTOS</t>
        </is>
      </c>
      <c r="C29" s="1" t="n">
        <v>250</v>
      </c>
      <c r="D29" s="1" t="inlineStr">
        <is>
          <t>100 x 50</t>
        </is>
      </c>
      <c r="E29" s="1" t="n">
        <v>100</v>
      </c>
      <c r="F29" s="1" t="n">
        <v>50</v>
      </c>
      <c r="G29" s="1" t="inlineStr">
        <is>
          <t>Couche</t>
        </is>
      </c>
      <c r="H29" s="1" t="inlineStr">
        <is>
          <t>ADC5240</t>
        </is>
      </c>
      <c r="I29" s="1" t="inlineStr">
        <is>
          <t>COLACRIL</t>
        </is>
      </c>
      <c r="J29" s="5" t="inlineStr">
        <is>
          <t>COUCHE COLACRIL 110 X 1500 ADC5240</t>
        </is>
      </c>
      <c r="K29" s="11" t="n">
        <v>10</v>
      </c>
      <c r="L29" s="11" t="n">
        <v>500</v>
      </c>
      <c r="M29" s="11" t="inlineStr">
        <is>
          <t>1 x 106</t>
        </is>
      </c>
      <c r="N29" s="21" t="n">
        <v>3.26</v>
      </c>
      <c r="O29" s="11" t="n">
        <v>0.3</v>
      </c>
      <c r="P29" s="11" t="n">
        <v>5.25</v>
      </c>
      <c r="Q29" s="24" t="n">
        <v>16.7</v>
      </c>
      <c r="R29" s="12">
        <f>((E29+6)*(F29+3))/1000000</f>
        <v/>
      </c>
      <c r="S29" s="26">
        <f>R29*N29*L29</f>
        <v/>
      </c>
      <c r="T29" s="27">
        <f>O29*P29/K29</f>
        <v/>
      </c>
      <c r="U29" s="26">
        <f>Q29/K29</f>
        <v/>
      </c>
      <c r="V29" s="17" t="n">
        <v>0.3594</v>
      </c>
      <c r="W29" s="29">
        <f>SUM(S29,T29,U29,V29)</f>
        <v/>
      </c>
      <c r="X29" s="28" t="n">
        <v>12.4936563876652</v>
      </c>
    </row>
    <row r="30">
      <c r="A30" s="15" t="n">
        <v>1158</v>
      </c>
      <c r="B30" s="5" t="inlineStr">
        <is>
          <t>SANTA CRUZ ACABAMENTOS</t>
        </is>
      </c>
      <c r="C30" s="1" t="n">
        <v>250</v>
      </c>
      <c r="D30" s="1" t="inlineStr">
        <is>
          <t>100 x 50</t>
        </is>
      </c>
      <c r="E30" s="1" t="n">
        <v>100</v>
      </c>
      <c r="F30" s="1" t="n">
        <v>50</v>
      </c>
      <c r="G30" s="1" t="inlineStr">
        <is>
          <t>Couche</t>
        </is>
      </c>
      <c r="H30" s="1" t="inlineStr">
        <is>
          <t>ADC5240</t>
        </is>
      </c>
      <c r="I30" s="1" t="inlineStr">
        <is>
          <t>COLACRIL</t>
        </is>
      </c>
      <c r="J30" s="5" t="inlineStr">
        <is>
          <t>COUCHE COLACRIL 110 X 1500 ADC5240</t>
        </is>
      </c>
      <c r="K30" s="11" t="n">
        <v>10</v>
      </c>
      <c r="L30" s="11" t="n">
        <v>500</v>
      </c>
      <c r="M30" s="11" t="inlineStr">
        <is>
          <t>1 x 106</t>
        </is>
      </c>
      <c r="N30" s="21" t="n">
        <v>3.26</v>
      </c>
      <c r="O30" s="11" t="n">
        <v>0.3</v>
      </c>
      <c r="P30" s="11" t="n">
        <v>5.25</v>
      </c>
      <c r="Q30" s="24" t="n">
        <v>16.7</v>
      </c>
      <c r="R30" s="12">
        <f>((E30+6)*(F30+3))/1000000</f>
        <v/>
      </c>
      <c r="S30" s="26">
        <f>R30*N30*L30</f>
        <v/>
      </c>
      <c r="T30" s="27">
        <f>O30*P30/K30</f>
        <v/>
      </c>
      <c r="U30" s="26">
        <f>Q30/K30</f>
        <v/>
      </c>
      <c r="V30" s="17" t="n">
        <v>0.3594</v>
      </c>
      <c r="W30" s="29">
        <f>SUM(S30,T30,U30,V30)</f>
        <v/>
      </c>
      <c r="X30" s="28" t="n">
        <v>12.4936563876652</v>
      </c>
    </row>
    <row r="31">
      <c r="A31" s="15" t="n">
        <v>1158</v>
      </c>
      <c r="B31" s="5" t="inlineStr">
        <is>
          <t>SANTA CRUZ ACABAMENTOS</t>
        </is>
      </c>
      <c r="C31" s="1" t="n">
        <v>250</v>
      </c>
      <c r="D31" s="1" t="inlineStr">
        <is>
          <t>100 x 50</t>
        </is>
      </c>
      <c r="E31" s="1" t="n">
        <v>100</v>
      </c>
      <c r="F31" s="1" t="n">
        <v>50</v>
      </c>
      <c r="G31" s="1" t="inlineStr">
        <is>
          <t>Couche</t>
        </is>
      </c>
      <c r="H31" s="1" t="inlineStr">
        <is>
          <t>ADC5240</t>
        </is>
      </c>
      <c r="I31" s="1" t="inlineStr">
        <is>
          <t>COLACRIL</t>
        </is>
      </c>
      <c r="J31" s="5" t="inlineStr">
        <is>
          <t>COUCHE COLACRIL 110 X 1500 ADC5240</t>
        </is>
      </c>
      <c r="K31" s="11" t="n">
        <v>10</v>
      </c>
      <c r="L31" s="11" t="n">
        <v>500</v>
      </c>
      <c r="M31" s="11" t="inlineStr">
        <is>
          <t>1 x 106</t>
        </is>
      </c>
      <c r="N31" s="21" t="n">
        <v>3.26</v>
      </c>
      <c r="O31" s="11" t="n">
        <v>0.3</v>
      </c>
      <c r="P31" s="11" t="n">
        <v>5.25</v>
      </c>
      <c r="Q31" s="24" t="n">
        <v>16.7</v>
      </c>
      <c r="R31" s="12">
        <f>((E31+6)*(F31+3))/1000000</f>
        <v/>
      </c>
      <c r="S31" s="26">
        <f>R31*N31*L31</f>
        <v/>
      </c>
      <c r="T31" s="27">
        <f>O31*P31/K31</f>
        <v/>
      </c>
      <c r="U31" s="26">
        <f>Q31/K31</f>
        <v/>
      </c>
      <c r="V31" s="17" t="n">
        <v>0.3594</v>
      </c>
      <c r="W31" s="29">
        <f>SUM(S31,T31,U31,V31)</f>
        <v/>
      </c>
      <c r="X31" s="28" t="n">
        <v>12.4936563876652</v>
      </c>
    </row>
    <row r="32">
      <c r="A32" s="16" t="n">
        <v>1160</v>
      </c>
      <c r="B32" s="4" t="inlineStr">
        <is>
          <t>SIBELE ALIMENTOS</t>
        </is>
      </c>
      <c r="C32" s="1" t="n">
        <v>390</v>
      </c>
      <c r="D32" s="1" t="inlineStr">
        <is>
          <t>100 X 130</t>
        </is>
      </c>
      <c r="E32" s="1" t="n">
        <v>100</v>
      </c>
      <c r="F32" s="1" t="n">
        <v>130</v>
      </c>
      <c r="G32" s="1" t="inlineStr">
        <is>
          <t>BOPP</t>
        </is>
      </c>
      <c r="H32" s="1" t="inlineStr">
        <is>
          <t>AP725</t>
        </is>
      </c>
      <c r="I32" s="1" t="inlineStr">
        <is>
          <t>PROTACK</t>
        </is>
      </c>
      <c r="J32" s="5" t="inlineStr">
        <is>
          <t>BOPP PROTACK 120 x 1000 AP725</t>
        </is>
      </c>
      <c r="K32" s="11" t="n">
        <v>10</v>
      </c>
      <c r="L32" s="11" t="n">
        <v>300</v>
      </c>
      <c r="M32" s="11" t="inlineStr">
        <is>
          <t>1 x 106</t>
        </is>
      </c>
      <c r="N32" s="21" t="n">
        <v>4.45</v>
      </c>
      <c r="O32" s="11" t="n">
        <v>1</v>
      </c>
      <c r="P32" s="11" t="n">
        <v>5.25</v>
      </c>
      <c r="Q32" s="25" t="n">
        <v>0</v>
      </c>
      <c r="R32" s="12">
        <f>((E32+6)*(F32+3))/1000000</f>
        <v/>
      </c>
      <c r="S32" s="26">
        <f>R32*N32*L32</f>
        <v/>
      </c>
      <c r="T32" s="27">
        <f>O32*P32/K32</f>
        <v/>
      </c>
      <c r="U32" s="26">
        <f>Q32/K32</f>
        <v/>
      </c>
      <c r="V32" s="17" t="n">
        <v>0.3594</v>
      </c>
      <c r="W32" s="29">
        <f>SUM(S32,T32,U32,V32)</f>
        <v/>
      </c>
      <c r="X32" s="28" t="n">
        <v>21.70179515418502</v>
      </c>
    </row>
    <row r="33">
      <c r="A33" s="16" t="n">
        <v>1161</v>
      </c>
      <c r="B33" s="5" t="inlineStr">
        <is>
          <t>EMIS - COUCHE T1</t>
        </is>
      </c>
      <c r="C33" s="1" t="n">
        <v>1000</v>
      </c>
      <c r="D33" s="1" t="inlineStr">
        <is>
          <t>100 X 70</t>
        </is>
      </c>
      <c r="E33" s="1" t="n">
        <v>100</v>
      </c>
      <c r="F33" s="1" t="n">
        <v>70</v>
      </c>
      <c r="G33" s="1" t="inlineStr">
        <is>
          <t>Couche</t>
        </is>
      </c>
      <c r="H33" s="1" t="inlineStr">
        <is>
          <t>ADC5240</t>
        </is>
      </c>
      <c r="I33" s="1" t="inlineStr">
        <is>
          <t>COLACRIL</t>
        </is>
      </c>
      <c r="J33" s="5" t="inlineStr">
        <is>
          <t>COUCHE COLACRIL 212 x 1500 ADC5240</t>
        </is>
      </c>
      <c r="K33" s="11" t="n">
        <v>50</v>
      </c>
      <c r="L33" s="11" t="n">
        <v>554</v>
      </c>
      <c r="M33" s="11" t="inlineStr">
        <is>
          <t>1 x 106</t>
        </is>
      </c>
      <c r="N33" s="21" t="n">
        <v>3.26</v>
      </c>
      <c r="O33" s="11" t="n">
        <v>1</v>
      </c>
      <c r="P33" s="11" t="n">
        <v>5.25</v>
      </c>
      <c r="Q33" s="25" t="n">
        <v>0</v>
      </c>
      <c r="R33" s="12">
        <f>((E33+6)*(F33+3))/1000000</f>
        <v/>
      </c>
      <c r="S33" s="26">
        <f>R33*N33*L33</f>
        <v/>
      </c>
      <c r="T33" s="27">
        <f>O33*P33/K33</f>
        <v/>
      </c>
      <c r="U33" s="26">
        <f>Q33/K33</f>
        <v/>
      </c>
      <c r="V33" s="17" t="n">
        <v>0.3594</v>
      </c>
      <c r="W33" s="29">
        <f>SUM(S33,T33,U33,V33)</f>
        <v/>
      </c>
      <c r="X33" s="28" t="n">
        <v>15.90257436123348</v>
      </c>
    </row>
    <row r="34">
      <c r="A34" s="15" t="n">
        <v>1161</v>
      </c>
      <c r="B34" s="5" t="inlineStr">
        <is>
          <t>EMIS - BOPP T3</t>
        </is>
      </c>
      <c r="C34" s="1" t="n">
        <v>100</v>
      </c>
      <c r="D34" s="1" t="inlineStr">
        <is>
          <t xml:space="preserve">100 x 30 </t>
        </is>
      </c>
      <c r="E34" s="1" t="n">
        <v>100</v>
      </c>
      <c r="F34" s="1" t="n">
        <v>30</v>
      </c>
      <c r="G34" s="1" t="inlineStr">
        <is>
          <t>BOPP</t>
        </is>
      </c>
      <c r="H34" s="1" t="inlineStr">
        <is>
          <t>AP725</t>
        </is>
      </c>
      <c r="I34" s="1" t="inlineStr">
        <is>
          <t>PROTACK</t>
        </is>
      </c>
      <c r="J34" s="5" t="inlineStr">
        <is>
          <t>BOPP PROTACK 120 X 1000 AP725</t>
        </is>
      </c>
      <c r="K34" s="11" t="n">
        <v>3</v>
      </c>
      <c r="L34" s="11" t="n">
        <v>1000</v>
      </c>
      <c r="M34" s="11" t="inlineStr">
        <is>
          <t>3 x 106</t>
        </is>
      </c>
      <c r="N34" s="21" t="n">
        <v>4.45</v>
      </c>
      <c r="O34" s="11" t="n">
        <v>0.5</v>
      </c>
      <c r="P34" s="11" t="n">
        <v>5.25</v>
      </c>
      <c r="Q34" s="25" t="n">
        <v>45</v>
      </c>
      <c r="R34" s="12">
        <f>((E34+6)*(F34+3))/1000000</f>
        <v/>
      </c>
      <c r="S34" s="26">
        <f>R34*N34*L34</f>
        <v/>
      </c>
      <c r="T34" s="27">
        <f>O34*P34/K34</f>
        <v/>
      </c>
      <c r="U34" s="26">
        <f>Q34/K34</f>
        <v/>
      </c>
      <c r="V34" s="17" t="n">
        <v>1.3945</v>
      </c>
      <c r="W34" s="29">
        <f>SUM(S34,T34,U34,V34)</f>
        <v/>
      </c>
      <c r="X34" s="28" t="n">
        <v>36.16255506607929</v>
      </c>
    </row>
    <row r="35">
      <c r="A35" s="15" t="n">
        <v>1161</v>
      </c>
      <c r="B35" s="5" t="inlineStr">
        <is>
          <t>EMIS - COUCHE T3</t>
        </is>
      </c>
      <c r="C35" s="1" t="n">
        <v>2250</v>
      </c>
      <c r="D35" s="1" t="inlineStr">
        <is>
          <t>100 X 70</t>
        </is>
      </c>
      <c r="E35" s="1" t="n">
        <v>100</v>
      </c>
      <c r="F35" s="1" t="n">
        <v>70</v>
      </c>
      <c r="G35" s="1" t="inlineStr">
        <is>
          <t>Couche</t>
        </is>
      </c>
      <c r="H35" s="1" t="inlineStr">
        <is>
          <t>ADC5240</t>
        </is>
      </c>
      <c r="I35" s="1" t="inlineStr">
        <is>
          <t>COLACRIL</t>
        </is>
      </c>
      <c r="J35" s="5" t="inlineStr">
        <is>
          <t>COUCHE COLACRIL 212 x 1500 ADC5240</t>
        </is>
      </c>
      <c r="K35" s="11" t="n">
        <v>50</v>
      </c>
      <c r="L35" s="11" t="n">
        <v>1285</v>
      </c>
      <c r="M35" s="11" t="inlineStr">
        <is>
          <t>3 x 106</t>
        </is>
      </c>
      <c r="N35" s="21" t="n">
        <v>3.26</v>
      </c>
      <c r="O35" s="11" t="n">
        <v>7</v>
      </c>
      <c r="P35" s="11" t="n">
        <v>5.25</v>
      </c>
      <c r="Q35" s="24" t="n">
        <v>65</v>
      </c>
      <c r="R35" s="12">
        <f>((E35+6)*(F35+3))/1000000</f>
        <v/>
      </c>
      <c r="S35" s="26">
        <f>R35*N35*L35</f>
        <v/>
      </c>
      <c r="T35" s="27">
        <f>O35*P35/K35</f>
        <v/>
      </c>
      <c r="U35" s="26">
        <f>Q35/K35</f>
        <v/>
      </c>
      <c r="V35" s="17" t="n">
        <v>1.3945</v>
      </c>
      <c r="W35" s="29">
        <f>SUM(S35,T35,U35,V35)</f>
        <v/>
      </c>
      <c r="X35" s="28" t="n">
        <v>39.47660330396475</v>
      </c>
    </row>
    <row r="36">
      <c r="A36" s="15" t="n">
        <v>1161</v>
      </c>
      <c r="B36" s="4" t="inlineStr">
        <is>
          <t>EMIS - BOPP T3</t>
        </is>
      </c>
      <c r="C36" s="1" t="n">
        <v>50</v>
      </c>
      <c r="D36" s="1" t="inlineStr">
        <is>
          <t>51 X 51</t>
        </is>
      </c>
      <c r="E36" s="1" t="n">
        <v>51</v>
      </c>
      <c r="F36" s="1" t="n">
        <v>51</v>
      </c>
      <c r="G36" s="1" t="inlineStr">
        <is>
          <t>BOPP</t>
        </is>
      </c>
      <c r="H36" s="1" t="inlineStr">
        <is>
          <t>AP725</t>
        </is>
      </c>
      <c r="I36" s="1" t="inlineStr">
        <is>
          <t>PROTACK</t>
        </is>
      </c>
      <c r="J36" s="5" t="inlineStr">
        <is>
          <t>BOPP PROTACK 120 X 1000 AP725</t>
        </is>
      </c>
      <c r="K36" s="11" t="n">
        <v>3</v>
      </c>
      <c r="L36" s="11" t="n">
        <v>1111</v>
      </c>
      <c r="M36" s="11" t="inlineStr">
        <is>
          <t>3 x 56</t>
        </is>
      </c>
      <c r="N36" s="21" t="n">
        <v>4.45</v>
      </c>
      <c r="O36" s="11" t="n">
        <v>0.5</v>
      </c>
      <c r="P36" s="11" t="n">
        <v>5.25</v>
      </c>
      <c r="Q36" s="25" t="n">
        <v>0</v>
      </c>
      <c r="R36" s="12">
        <f>((E36+6)*(F36+3))/1000000</f>
        <v/>
      </c>
      <c r="S36" s="26">
        <f>R36*N36*L36</f>
        <v/>
      </c>
      <c r="T36" s="27">
        <f>O36*P36/K36</f>
        <v/>
      </c>
      <c r="U36" s="26">
        <f>Q36/K36</f>
        <v/>
      </c>
      <c r="V36" s="17" t="n">
        <v>0.7231</v>
      </c>
      <c r="W36" s="29">
        <f>SUM(S36,T36,U36,V36)</f>
        <v/>
      </c>
      <c r="X36" s="28" t="n">
        <v>18.51935914096916</v>
      </c>
    </row>
    <row r="37">
      <c r="A37" s="15" t="n">
        <v>1162</v>
      </c>
      <c r="B37" s="5" t="inlineStr">
        <is>
          <t>FRIVASA</t>
        </is>
      </c>
      <c r="C37" s="1" t="n">
        <v>7600</v>
      </c>
      <c r="D37" s="22" t="inlineStr">
        <is>
          <t>102 x 197</t>
        </is>
      </c>
      <c r="E37" s="22" t="n">
        <v>102</v>
      </c>
      <c r="F37" s="22" t="n">
        <v>197</v>
      </c>
      <c r="G37" s="1" t="inlineStr">
        <is>
          <t>BOPP</t>
        </is>
      </c>
      <c r="H37" s="1" t="inlineStr">
        <is>
          <t>AP725</t>
        </is>
      </c>
      <c r="I37" s="1" t="inlineStr">
        <is>
          <t>PROTACK</t>
        </is>
      </c>
      <c r="J37" s="5" t="inlineStr">
        <is>
          <t>BOPP PROTACK 214 x 1000 AP725</t>
        </is>
      </c>
      <c r="K37" s="11" t="n">
        <v>152</v>
      </c>
      <c r="L37" s="11" t="n">
        <v>500</v>
      </c>
      <c r="M37" s="11" t="inlineStr">
        <is>
          <t>3 x 110</t>
        </is>
      </c>
      <c r="N37" s="21" t="n">
        <v>4.45</v>
      </c>
      <c r="O37" s="11" t="n">
        <v>18</v>
      </c>
      <c r="P37" s="11" t="n">
        <v>5.25</v>
      </c>
      <c r="Q37" s="25" t="n">
        <v>300</v>
      </c>
      <c r="R37" s="12">
        <f>((E38+6)*(F38+3))/1000000</f>
        <v/>
      </c>
      <c r="S37" s="26">
        <f>R37*N37*L37</f>
        <v/>
      </c>
      <c r="T37" s="27">
        <f>O37*P37/K37</f>
        <v/>
      </c>
      <c r="U37" s="26">
        <f>Q37/K37</f>
        <v/>
      </c>
      <c r="V37" s="17" t="n">
        <v>0.7231</v>
      </c>
      <c r="W37" s="29">
        <f>SUM(S37,T37,U37,V37)</f>
        <v/>
      </c>
      <c r="X37" s="28" t="n">
        <v>36.31420125202875</v>
      </c>
    </row>
    <row r="38">
      <c r="A38" s="15" t="n">
        <v>1162</v>
      </c>
      <c r="B38" s="5" t="inlineStr">
        <is>
          <t>FRIVASA</t>
        </is>
      </c>
      <c r="C38" s="1" t="n">
        <v>3510</v>
      </c>
      <c r="D38" s="1" t="inlineStr">
        <is>
          <t>50 x 235</t>
        </is>
      </c>
      <c r="E38" s="1" t="n">
        <v>50</v>
      </c>
      <c r="F38" s="1" t="n">
        <v>235</v>
      </c>
      <c r="G38" s="1" t="inlineStr">
        <is>
          <t>BOPP</t>
        </is>
      </c>
      <c r="H38" s="1" t="inlineStr">
        <is>
          <t>AP725</t>
        </is>
      </c>
      <c r="I38" s="1" t="inlineStr">
        <is>
          <t>PROTACK</t>
        </is>
      </c>
      <c r="J38" s="5" t="inlineStr">
        <is>
          <t>BOPP PROTACK 110 x 1000 AP725</t>
        </is>
      </c>
      <c r="K38" s="11" t="n">
        <v>60</v>
      </c>
      <c r="L38" s="11" t="n">
        <v>500</v>
      </c>
      <c r="M38" s="11" t="inlineStr">
        <is>
          <t>3 x 56</t>
        </is>
      </c>
      <c r="N38" s="21" t="n">
        <v>4.45</v>
      </c>
      <c r="O38" s="11" t="n">
        <v>4</v>
      </c>
      <c r="P38" s="11" t="n">
        <v>5.25</v>
      </c>
      <c r="Q38" s="25" t="n">
        <v>100</v>
      </c>
      <c r="R38" s="12">
        <f>((E39+6)*(F39+3))/1000000</f>
        <v/>
      </c>
      <c r="S38" s="26">
        <f>R38*N38*L38</f>
        <v/>
      </c>
      <c r="T38" s="27">
        <f>O38*P38/K38</f>
        <v/>
      </c>
      <c r="U38" s="26">
        <f>Q38/K38</f>
        <v/>
      </c>
      <c r="V38" s="17" t="n">
        <v>0.7231</v>
      </c>
      <c r="W38" s="29">
        <f>SUM(S38,T38,U38,V38)</f>
        <v/>
      </c>
      <c r="X38" s="28" t="n">
        <v>30.87397209985316</v>
      </c>
    </row>
    <row r="39">
      <c r="A39" s="15" t="n">
        <v>1162</v>
      </c>
      <c r="B39" s="5" t="inlineStr">
        <is>
          <t>FRIVASA</t>
        </is>
      </c>
      <c r="C39" s="1" t="n">
        <v>6000</v>
      </c>
      <c r="D39" s="1" t="inlineStr">
        <is>
          <t>50 x 200 x 2</t>
        </is>
      </c>
      <c r="E39" s="1" t="n">
        <v>50</v>
      </c>
      <c r="F39" s="1" t="n">
        <v>200</v>
      </c>
      <c r="G39" s="1" t="inlineStr">
        <is>
          <t>BOPP</t>
        </is>
      </c>
      <c r="H39" s="1" t="inlineStr">
        <is>
          <t>AP725</t>
        </is>
      </c>
      <c r="I39" s="1" t="inlineStr">
        <is>
          <t>PROTACK</t>
        </is>
      </c>
      <c r="J39" s="5" t="inlineStr">
        <is>
          <t>BOPP PROTACK 110 x 1000 AP725</t>
        </is>
      </c>
      <c r="K39" s="11" t="n">
        <v>48</v>
      </c>
      <c r="L39" s="11" t="n">
        <v>1000</v>
      </c>
      <c r="M39" s="11" t="inlineStr">
        <is>
          <t>3 x 56</t>
        </is>
      </c>
      <c r="N39" s="21" t="n">
        <v>4.45</v>
      </c>
      <c r="O39" s="11" t="n">
        <v>8</v>
      </c>
      <c r="P39" s="11" t="n">
        <v>5.25</v>
      </c>
      <c r="Q39" s="25" t="n">
        <v>100</v>
      </c>
      <c r="R39" s="12" t="n">
        <v>0.011368</v>
      </c>
      <c r="S39" s="26" t="n">
        <v>50.5876</v>
      </c>
      <c r="T39" s="27" t="n">
        <v>0.875</v>
      </c>
      <c r="U39" s="26" t="n">
        <v>2.083333333333333</v>
      </c>
      <c r="V39" s="17" t="n">
        <v>0.7231</v>
      </c>
      <c r="W39" s="29" t="n">
        <v>54.26903333333334</v>
      </c>
      <c r="X39" s="30" t="n">
        <v>59.76765785609398</v>
      </c>
    </row>
    <row r="40">
      <c r="A40" s="15" t="n">
        <v>1162</v>
      </c>
      <c r="B40" s="5" t="inlineStr">
        <is>
          <t>FRIVASA</t>
        </is>
      </c>
      <c r="C40" s="1" t="n">
        <v>1344</v>
      </c>
      <c r="D40" s="1" t="inlineStr">
        <is>
          <t>86 x 165</t>
        </is>
      </c>
      <c r="E40" s="1" t="n">
        <v>86</v>
      </c>
      <c r="F40" s="1" t="n">
        <v>165</v>
      </c>
      <c r="G40" s="1" t="inlineStr">
        <is>
          <t>BOPP</t>
        </is>
      </c>
      <c r="H40" s="1" t="inlineStr">
        <is>
          <t>AP725</t>
        </is>
      </c>
      <c r="I40" s="1" t="inlineStr">
        <is>
          <t>PROTACK</t>
        </is>
      </c>
      <c r="J40" s="5" t="inlineStr">
        <is>
          <t>BOPP PROTACK 110 x 1000 AP725</t>
        </is>
      </c>
      <c r="K40" s="11" t="n">
        <v>8</v>
      </c>
      <c r="L40" s="11" t="n">
        <v>1000</v>
      </c>
      <c r="M40" s="11" t="inlineStr">
        <is>
          <t>3 x 96</t>
        </is>
      </c>
      <c r="N40" s="21" t="n">
        <v>4.45</v>
      </c>
      <c r="O40" s="11" t="n">
        <v>3</v>
      </c>
      <c r="P40" s="11" t="n">
        <v>5.25</v>
      </c>
      <c r="Q40" s="25" t="n">
        <v>60</v>
      </c>
      <c r="R40" s="12">
        <f>((E41+6)*(F41+3))/1000000</f>
        <v/>
      </c>
      <c r="S40" s="26">
        <f>R40*N40*L40</f>
        <v/>
      </c>
      <c r="T40" s="27">
        <f>O40*P40/K40</f>
        <v/>
      </c>
      <c r="U40" s="26">
        <f>Q40/K40</f>
        <v/>
      </c>
      <c r="V40" s="17" t="n">
        <v>0.7231</v>
      </c>
      <c r="W40" s="29">
        <f>SUM(S40,T40,U40,V40)</f>
        <v/>
      </c>
      <c r="X40" s="28" t="n">
        <v>23.02582599118943</v>
      </c>
    </row>
    <row r="41">
      <c r="A41" s="15" t="n">
        <v>1163</v>
      </c>
      <c r="B41" s="4" t="inlineStr">
        <is>
          <t>INJEX</t>
        </is>
      </c>
      <c r="C41" s="1" t="n">
        <v>5400</v>
      </c>
      <c r="D41" s="1" t="inlineStr">
        <is>
          <t>50 X 40 X 2</t>
        </is>
      </c>
      <c r="E41" s="1" t="n">
        <v>50</v>
      </c>
      <c r="F41" s="1" t="n">
        <v>40</v>
      </c>
      <c r="G41" s="1" t="inlineStr">
        <is>
          <t>Couche</t>
        </is>
      </c>
      <c r="H41" s="1" t="inlineStr">
        <is>
          <t>ADC5240</t>
        </is>
      </c>
      <c r="I41" s="1" t="inlineStr">
        <is>
          <t>COLACRIL</t>
        </is>
      </c>
      <c r="J41" s="5" t="inlineStr">
        <is>
          <t xml:space="preserve">COUCHE COLACRIL 110 x 1500 ADC5240 </t>
        </is>
      </c>
      <c r="K41" s="11" t="n">
        <v>135</v>
      </c>
      <c r="L41" s="24">
        <f>40000/43</f>
        <v/>
      </c>
      <c r="M41" s="11" t="inlineStr">
        <is>
          <t>1 x 56</t>
        </is>
      </c>
      <c r="N41" s="21" t="n">
        <v>3.26</v>
      </c>
      <c r="O41" s="11" t="n">
        <v>5</v>
      </c>
      <c r="P41" s="11" t="n">
        <v>5.25</v>
      </c>
      <c r="Q41" s="24" t="n">
        <v>144.17</v>
      </c>
      <c r="R41" s="12">
        <f>((E41+6)*(F41+3))/1000000</f>
        <v/>
      </c>
      <c r="S41" s="26">
        <f>R41*N41*L41</f>
        <v/>
      </c>
      <c r="T41" s="27">
        <f>O41*P41/K41</f>
        <v/>
      </c>
      <c r="U41" s="26">
        <f>Q41/K41</f>
        <v/>
      </c>
      <c r="V41" s="17" t="n">
        <v>0.1958</v>
      </c>
      <c r="W41" s="29">
        <f>SUM(S41,T41,U41,V41)</f>
        <v/>
      </c>
      <c r="X41" s="28" t="n">
        <v>9.648205253711859</v>
      </c>
    </row>
    <row r="42">
      <c r="A42" s="15" t="n">
        <v>1165</v>
      </c>
      <c r="B42" s="4" t="inlineStr">
        <is>
          <t>VITAMINAS</t>
        </is>
      </c>
      <c r="C42" s="1" t="n">
        <v>250</v>
      </c>
      <c r="D42" s="1" t="inlineStr">
        <is>
          <t>205 x 104</t>
        </is>
      </c>
      <c r="E42" s="1" t="n">
        <v>205</v>
      </c>
      <c r="F42" s="1" t="n">
        <v>104</v>
      </c>
      <c r="G42" s="1" t="inlineStr">
        <is>
          <t>Couche</t>
        </is>
      </c>
      <c r="H42" s="1" t="inlineStr">
        <is>
          <t>ADC5240</t>
        </is>
      </c>
      <c r="I42" s="1" t="inlineStr">
        <is>
          <t>COLACRIL</t>
        </is>
      </c>
      <c r="J42" s="5" t="inlineStr">
        <is>
          <t xml:space="preserve">COUCHE COLACRIL 110 X 1500 ADC5240 </t>
        </is>
      </c>
      <c r="K42" s="11" t="n">
        <v>10</v>
      </c>
      <c r="L42" s="11" t="n">
        <v>1000</v>
      </c>
      <c r="M42" s="11" t="inlineStr">
        <is>
          <t>1 x 110</t>
        </is>
      </c>
      <c r="N42" s="21" t="n">
        <v>3.26</v>
      </c>
      <c r="O42" s="11" t="n">
        <v>1</v>
      </c>
      <c r="P42" s="11" t="n">
        <v>5.25</v>
      </c>
      <c r="Q42" s="25" t="n">
        <v>0</v>
      </c>
      <c r="R42" s="12">
        <f>((E42+6)*(F42+3))/1000000</f>
        <v/>
      </c>
      <c r="S42" s="26">
        <f>R42*N42*L42</f>
        <v/>
      </c>
      <c r="T42" s="27">
        <f>O42*P42/K42</f>
        <v/>
      </c>
      <c r="U42" s="26">
        <f>Q42/K42</f>
        <v/>
      </c>
      <c r="V42" s="17" t="n">
        <v>0.31</v>
      </c>
      <c r="W42" s="29">
        <f>SUM(S42,T42,U42,V42)</f>
        <v/>
      </c>
      <c r="X42" s="28" t="n">
        <v>81.97799559471365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2"/>
  <sheetViews>
    <sheetView workbookViewId="0">
      <selection activeCell="H35" sqref="H35"/>
    </sheetView>
  </sheetViews>
  <sheetFormatPr baseColWidth="8" defaultRowHeight="14.5"/>
  <cols>
    <col width="9.90625" bestFit="1" customWidth="1" min="1" max="1"/>
    <col width="9.54296875" bestFit="1" customWidth="1" min="2" max="2"/>
    <col width="35.7265625" bestFit="1" customWidth="1" min="3" max="3"/>
    <col width="24.6328125" bestFit="1" customWidth="1" min="4" max="4"/>
  </cols>
  <sheetData>
    <row r="2">
      <c r="A2" s="11" t="inlineStr">
        <is>
          <t>dimensões</t>
        </is>
      </c>
      <c r="B2" s="11" t="inlineStr">
        <is>
          <t>Referência</t>
        </is>
      </c>
      <c r="C2" s="11" t="inlineStr">
        <is>
          <t>Cliente</t>
        </is>
      </c>
      <c r="D2" s="11" t="inlineStr">
        <is>
          <t>quantidade etiquetas por rolo</t>
        </is>
      </c>
      <c r="E2" s="11" t="inlineStr">
        <is>
          <t>tipo tubete</t>
        </is>
      </c>
    </row>
    <row r="3">
      <c r="A3" s="1" t="inlineStr">
        <is>
          <t>100 X 50</t>
        </is>
      </c>
      <c r="B3" s="1" t="inlineStr">
        <is>
          <t>AP718</t>
        </is>
      </c>
      <c r="C3" s="5" t="inlineStr">
        <is>
          <t>NUTRISANTOS BOPP</t>
        </is>
      </c>
      <c r="D3" s="11" t="n">
        <v>1500</v>
      </c>
      <c r="E3" s="11" t="inlineStr">
        <is>
          <t>3 x 106</t>
        </is>
      </c>
    </row>
    <row r="4">
      <c r="A4" s="1" t="inlineStr">
        <is>
          <t>80 X 125</t>
        </is>
      </c>
      <c r="B4" s="1" t="inlineStr">
        <is>
          <t>AP725</t>
        </is>
      </c>
      <c r="C4" s="5" t="inlineStr">
        <is>
          <t>FRANCAP</t>
        </is>
      </c>
      <c r="D4" s="11" t="n">
        <v>1000</v>
      </c>
      <c r="E4" s="11" t="inlineStr">
        <is>
          <t>3 x 86</t>
        </is>
      </c>
    </row>
    <row r="5">
      <c r="A5" s="1" t="inlineStr">
        <is>
          <t>50 X 30</t>
        </is>
      </c>
      <c r="B5" s="1" t="inlineStr">
        <is>
          <t>AP718</t>
        </is>
      </c>
      <c r="C5" s="5" t="inlineStr">
        <is>
          <t>LABICON - TRINDADE</t>
        </is>
      </c>
      <c r="D5" s="11" t="n">
        <v>1200</v>
      </c>
      <c r="E5" s="11" t="inlineStr">
        <is>
          <t>1 x 56</t>
        </is>
      </c>
    </row>
    <row r="6">
      <c r="A6" s="1" t="inlineStr">
        <is>
          <t>50 X 30</t>
        </is>
      </c>
      <c r="B6" s="1" t="inlineStr">
        <is>
          <t>ESTOQUE</t>
        </is>
      </c>
      <c r="C6" s="5" t="inlineStr">
        <is>
          <t>LABICON LARANJA</t>
        </is>
      </c>
      <c r="D6" s="11" t="n">
        <v>1200</v>
      </c>
      <c r="E6" s="11" t="inlineStr">
        <is>
          <t>1 x 56</t>
        </is>
      </c>
    </row>
    <row r="7">
      <c r="A7" s="1" t="inlineStr">
        <is>
          <t>100 X 75</t>
        </is>
      </c>
      <c r="B7" s="1" t="inlineStr">
        <is>
          <t>S2045</t>
        </is>
      </c>
      <c r="C7" s="5" t="inlineStr">
        <is>
          <t>IRMANDADE NOSSA SENHORA DAS DORES</t>
        </is>
      </c>
      <c r="D7" s="11" t="n">
        <v>358</v>
      </c>
      <c r="E7" s="11" t="inlineStr">
        <is>
          <t>1 x 106</t>
        </is>
      </c>
    </row>
    <row r="8">
      <c r="A8" s="1" t="inlineStr">
        <is>
          <t>100 X 50</t>
        </is>
      </c>
      <c r="B8" s="1" t="inlineStr">
        <is>
          <t>S2045</t>
        </is>
      </c>
      <c r="C8" s="5" t="inlineStr">
        <is>
          <t>NUTRISANTOS COUCHE</t>
        </is>
      </c>
      <c r="D8" s="11" t="n">
        <v>1000</v>
      </c>
      <c r="E8" s="11" t="inlineStr">
        <is>
          <t>1 x 106</t>
        </is>
      </c>
    </row>
    <row r="9">
      <c r="A9" s="1" t="inlineStr">
        <is>
          <t>100 X 150</t>
        </is>
      </c>
      <c r="B9" s="1" t="inlineStr">
        <is>
          <t>AP718</t>
        </is>
      </c>
      <c r="C9" s="5" t="inlineStr">
        <is>
          <t>NUTRISANTOS BOPP</t>
        </is>
      </c>
      <c r="D9" s="11" t="n">
        <v>1500</v>
      </c>
      <c r="E9" s="11" t="inlineStr">
        <is>
          <t>3 x 106</t>
        </is>
      </c>
    </row>
    <row r="10">
      <c r="A10" s="1" t="inlineStr">
        <is>
          <t>100 X 100</t>
        </is>
      </c>
      <c r="B10" s="1" t="inlineStr">
        <is>
          <t>AP718</t>
        </is>
      </c>
      <c r="C10" s="5" t="inlineStr">
        <is>
          <t>LONAX</t>
        </is>
      </c>
      <c r="D10" s="24">
        <f>30000/103</f>
        <v/>
      </c>
      <c r="E10" s="11" t="inlineStr">
        <is>
          <t>1 x 106</t>
        </is>
      </c>
    </row>
    <row r="11">
      <c r="A11" s="1" t="inlineStr">
        <is>
          <t>100 X 85</t>
        </is>
      </c>
      <c r="B11" s="1" t="inlineStr">
        <is>
          <t>ADC5240</t>
        </is>
      </c>
      <c r="C11" s="5" t="inlineStr">
        <is>
          <t>IPSEMG</t>
        </is>
      </c>
      <c r="D11" s="11" t="n">
        <v>500</v>
      </c>
      <c r="E11" s="11" t="inlineStr">
        <is>
          <t>1 x 106</t>
        </is>
      </c>
    </row>
    <row r="12">
      <c r="A12" s="1" t="inlineStr">
        <is>
          <t>48 X 33</t>
        </is>
      </c>
      <c r="B12" s="1" t="inlineStr">
        <is>
          <t>ADC5240</t>
        </is>
      </c>
      <c r="C12" s="5" t="inlineStr">
        <is>
          <t>IPSEMG</t>
        </is>
      </c>
      <c r="D12" s="11" t="n">
        <v>2500</v>
      </c>
      <c r="E12" s="11" t="inlineStr">
        <is>
          <t>1 x 106</t>
        </is>
      </c>
    </row>
    <row r="13">
      <c r="A13" s="1" t="inlineStr">
        <is>
          <t>50 X 30</t>
        </is>
      </c>
      <c r="B13" s="1" t="n"/>
      <c r="C13" s="4" t="inlineStr">
        <is>
          <t>LABORCLINICA</t>
        </is>
      </c>
      <c r="D13" s="11" t="n">
        <v>1500</v>
      </c>
      <c r="E13" s="11" t="inlineStr">
        <is>
          <t>1 x 56</t>
        </is>
      </c>
    </row>
    <row r="14">
      <c r="A14" s="1" t="inlineStr">
        <is>
          <t>100 X 40</t>
        </is>
      </c>
      <c r="B14" s="1" t="inlineStr">
        <is>
          <t>S2045</t>
        </is>
      </c>
      <c r="C14" s="4" t="inlineStr">
        <is>
          <t>TRIUNFO</t>
        </is>
      </c>
      <c r="D14" s="11" t="n">
        <v>1000</v>
      </c>
      <c r="E14" s="11" t="inlineStr">
        <is>
          <t>1 x 106</t>
        </is>
      </c>
    </row>
    <row r="15">
      <c r="A15" s="1" t="inlineStr">
        <is>
          <t>80 X 125</t>
        </is>
      </c>
      <c r="B15" s="1" t="inlineStr">
        <is>
          <t>ADC3000</t>
        </is>
      </c>
      <c r="C15" s="4" t="inlineStr">
        <is>
          <t>BASE</t>
        </is>
      </c>
      <c r="D15" s="11" t="n">
        <v>800</v>
      </c>
      <c r="E15" s="11" t="inlineStr">
        <is>
          <t>3 x 86</t>
        </is>
      </c>
    </row>
    <row r="16">
      <c r="A16" s="1" t="inlineStr">
        <is>
          <t>100 X 70</t>
        </is>
      </c>
      <c r="B16" s="1" t="inlineStr">
        <is>
          <t>AP725</t>
        </is>
      </c>
      <c r="C16" s="5" t="inlineStr">
        <is>
          <t>FRIGORIFICO ATALAIA</t>
        </is>
      </c>
      <c r="D16" s="11" t="n">
        <v>1000</v>
      </c>
      <c r="E16" s="11" t="inlineStr">
        <is>
          <t>1 x 106</t>
        </is>
      </c>
    </row>
    <row r="17">
      <c r="A17" s="1" t="inlineStr">
        <is>
          <t>100 x 100</t>
        </is>
      </c>
      <c r="B17" s="1" t="inlineStr">
        <is>
          <t>ADC5240</t>
        </is>
      </c>
      <c r="C17" s="4" t="inlineStr">
        <is>
          <t>AUTOLOG VERMELHA</t>
        </is>
      </c>
      <c r="D17" s="11" t="n">
        <v>340</v>
      </c>
      <c r="E17" s="11" t="inlineStr">
        <is>
          <t>1 x 106</t>
        </is>
      </c>
    </row>
    <row r="18">
      <c r="A18" s="1" t="inlineStr">
        <is>
          <t>100 X 150</t>
        </is>
      </c>
      <c r="B18" s="1" t="inlineStr">
        <is>
          <t>ADC5240</t>
        </is>
      </c>
      <c r="C18" s="4" t="inlineStr">
        <is>
          <t>EXPEDIDO - EI BELEZA</t>
        </is>
      </c>
      <c r="D18" s="11" t="n">
        <v>200</v>
      </c>
      <c r="E18" s="11" t="inlineStr">
        <is>
          <t>1 x 106</t>
        </is>
      </c>
    </row>
    <row r="19">
      <c r="A19" s="1" t="inlineStr">
        <is>
          <t>100 X 80</t>
        </is>
      </c>
      <c r="B19" s="1" t="inlineStr">
        <is>
          <t>AP718</t>
        </is>
      </c>
      <c r="C19" s="4" t="inlineStr">
        <is>
          <t>FIGUEIREDO SM</t>
        </is>
      </c>
      <c r="D19" s="11" t="n">
        <v>470</v>
      </c>
      <c r="E19" s="11" t="inlineStr">
        <is>
          <t>1 x 106</t>
        </is>
      </c>
    </row>
    <row r="20">
      <c r="A20" s="1" t="inlineStr">
        <is>
          <t>100 X 100</t>
        </is>
      </c>
      <c r="B20" s="1" t="inlineStr">
        <is>
          <t>S2045</t>
        </is>
      </c>
      <c r="C20" s="4" t="inlineStr">
        <is>
          <t>Vetor Distribuidora</t>
        </is>
      </c>
      <c r="D20" s="11" t="n">
        <v>310</v>
      </c>
      <c r="E20" s="11" t="inlineStr">
        <is>
          <t>1 x 106</t>
        </is>
      </c>
    </row>
    <row r="21">
      <c r="A21" s="1" t="inlineStr">
        <is>
          <t xml:space="preserve">100 x 30 </t>
        </is>
      </c>
      <c r="B21" s="1" t="inlineStr">
        <is>
          <t>ADC5240</t>
        </is>
      </c>
      <c r="C21" s="4" t="inlineStr">
        <is>
          <t>DIAGNOSTICA NOVA LIMA</t>
        </is>
      </c>
      <c r="D21" s="11" t="n">
        <v>500</v>
      </c>
      <c r="E21" s="11" t="inlineStr">
        <is>
          <t>1 x 106</t>
        </is>
      </c>
    </row>
    <row r="22">
      <c r="A22" s="1" t="inlineStr">
        <is>
          <t>90 X 60</t>
        </is>
      </c>
      <c r="B22" s="1" t="inlineStr">
        <is>
          <t>ADC5240</t>
        </is>
      </c>
      <c r="C22" s="5" t="inlineStr">
        <is>
          <t>DIAGNOSTICA NOVA LIMA</t>
        </is>
      </c>
      <c r="D22" s="11" t="n">
        <v>500</v>
      </c>
      <c r="E22" s="11" t="inlineStr">
        <is>
          <t>1 x 96</t>
        </is>
      </c>
    </row>
    <row r="23">
      <c r="A23" s="1" t="inlineStr">
        <is>
          <t>100 X 70</t>
        </is>
      </c>
      <c r="B23" s="1" t="inlineStr">
        <is>
          <t>ADC5240</t>
        </is>
      </c>
      <c r="C23" s="4" t="inlineStr">
        <is>
          <t>INJEX VERMELHA</t>
        </is>
      </c>
      <c r="D23" s="11" t="n">
        <v>1000</v>
      </c>
      <c r="E23" s="11" t="inlineStr">
        <is>
          <t>1 x 106</t>
        </is>
      </c>
    </row>
    <row r="24">
      <c r="A24" s="1" t="inlineStr">
        <is>
          <t>100 X 70</t>
        </is>
      </c>
      <c r="B24" s="1" t="inlineStr">
        <is>
          <t>ADC5240</t>
        </is>
      </c>
      <c r="C24" s="4" t="inlineStr">
        <is>
          <t>INJEX</t>
        </is>
      </c>
      <c r="D24" s="11" t="n">
        <v>1000</v>
      </c>
      <c r="E24" s="11" t="inlineStr">
        <is>
          <t>1 x 106</t>
        </is>
      </c>
    </row>
    <row r="25">
      <c r="A25" s="1" t="inlineStr">
        <is>
          <t>100 X 70</t>
        </is>
      </c>
      <c r="B25" s="1" t="inlineStr">
        <is>
          <t>ADC5240</t>
        </is>
      </c>
      <c r="C25" s="5" t="inlineStr">
        <is>
          <t>INJEX AZUL</t>
        </is>
      </c>
      <c r="D25" s="11" t="n">
        <v>1000</v>
      </c>
      <c r="E25" s="11" t="inlineStr">
        <is>
          <t>1 x 106</t>
        </is>
      </c>
    </row>
    <row r="26">
      <c r="A26" s="1" t="inlineStr">
        <is>
          <t>100 X 40</t>
        </is>
      </c>
      <c r="B26" s="1" t="inlineStr">
        <is>
          <t>AP725</t>
        </is>
      </c>
      <c r="C26" s="4" t="inlineStr">
        <is>
          <t>FRIGORIFICO ATALAIA</t>
        </is>
      </c>
      <c r="D26" s="11" t="n">
        <v>2000</v>
      </c>
      <c r="E26" s="11" t="inlineStr">
        <is>
          <t>3 x 106</t>
        </is>
      </c>
    </row>
    <row r="27">
      <c r="A27" s="1" t="inlineStr">
        <is>
          <t>100 X 50</t>
        </is>
      </c>
      <c r="B27" s="1" t="inlineStr">
        <is>
          <t>ADC5240</t>
        </is>
      </c>
      <c r="C27" s="4" t="inlineStr">
        <is>
          <t>BASE</t>
        </is>
      </c>
      <c r="D27" s="11" t="n">
        <v>2000</v>
      </c>
      <c r="E27" s="11" t="inlineStr">
        <is>
          <t>3 x 106</t>
        </is>
      </c>
    </row>
    <row r="28">
      <c r="A28" s="1" t="inlineStr">
        <is>
          <t>100 X 70</t>
        </is>
      </c>
      <c r="B28" s="1" t="inlineStr">
        <is>
          <t>ADC5240</t>
        </is>
      </c>
      <c r="C28" s="4" t="inlineStr">
        <is>
          <t>INJEX ROSA</t>
        </is>
      </c>
      <c r="D28" s="11" t="n">
        <v>1000</v>
      </c>
      <c r="E28" s="11" t="inlineStr">
        <is>
          <t>1 x 106</t>
        </is>
      </c>
    </row>
    <row r="29">
      <c r="A29" s="1" t="inlineStr">
        <is>
          <t>100 x 50</t>
        </is>
      </c>
      <c r="B29" s="1" t="inlineStr">
        <is>
          <t>ADC5240</t>
        </is>
      </c>
      <c r="C29" s="4" t="inlineStr">
        <is>
          <t>SANTA CRUZ ACABAMENTOS</t>
        </is>
      </c>
      <c r="D29" s="11" t="n">
        <v>500</v>
      </c>
      <c r="E29" s="11" t="inlineStr">
        <is>
          <t>1 x 106</t>
        </is>
      </c>
    </row>
    <row r="30">
      <c r="A30" s="1" t="inlineStr">
        <is>
          <t>100 x 50</t>
        </is>
      </c>
      <c r="B30" s="1" t="inlineStr">
        <is>
          <t>ADC5240</t>
        </is>
      </c>
      <c r="C30" s="5" t="inlineStr">
        <is>
          <t>SANTA CRUZ ACABAMENTOS</t>
        </is>
      </c>
      <c r="D30" s="11" t="n">
        <v>500</v>
      </c>
      <c r="E30" s="11" t="inlineStr">
        <is>
          <t>1 x 106</t>
        </is>
      </c>
    </row>
    <row r="31">
      <c r="A31" s="1" t="inlineStr">
        <is>
          <t>100 x 50</t>
        </is>
      </c>
      <c r="B31" s="1" t="inlineStr">
        <is>
          <t>ADC5240</t>
        </is>
      </c>
      <c r="C31" s="5" t="inlineStr">
        <is>
          <t>SANTA CRUZ ACABAMENTOS</t>
        </is>
      </c>
      <c r="D31" s="11" t="n">
        <v>500</v>
      </c>
      <c r="E31" s="11" t="inlineStr">
        <is>
          <t>1 x 106</t>
        </is>
      </c>
    </row>
    <row r="32">
      <c r="A32" s="1" t="inlineStr">
        <is>
          <t>100 X 130</t>
        </is>
      </c>
      <c r="B32" s="1" t="inlineStr">
        <is>
          <t>AP725</t>
        </is>
      </c>
      <c r="C32" s="4" t="inlineStr">
        <is>
          <t>SIBELE ALIMENTOS</t>
        </is>
      </c>
      <c r="D32" s="11" t="n">
        <v>300</v>
      </c>
      <c r="E32" s="11" t="inlineStr">
        <is>
          <t>1 x 106</t>
        </is>
      </c>
    </row>
    <row r="33">
      <c r="A33" s="1" t="inlineStr">
        <is>
          <t>100 X 70</t>
        </is>
      </c>
      <c r="B33" s="1" t="inlineStr">
        <is>
          <t>ADC5240</t>
        </is>
      </c>
      <c r="C33" s="5" t="inlineStr">
        <is>
          <t>EMIS - COUCHE T1</t>
        </is>
      </c>
      <c r="D33" s="11" t="n">
        <v>554</v>
      </c>
      <c r="E33" s="11" t="inlineStr">
        <is>
          <t>1 x 106</t>
        </is>
      </c>
    </row>
    <row r="34">
      <c r="A34" s="1" t="inlineStr">
        <is>
          <t xml:space="preserve">100 x 30 </t>
        </is>
      </c>
      <c r="B34" s="1" t="inlineStr">
        <is>
          <t>AP725</t>
        </is>
      </c>
      <c r="C34" s="5" t="inlineStr">
        <is>
          <t>EMIS - BOPP T3</t>
        </is>
      </c>
      <c r="D34" s="11" t="n">
        <v>1000</v>
      </c>
      <c r="E34" s="11" t="inlineStr">
        <is>
          <t>3 x 106</t>
        </is>
      </c>
    </row>
    <row r="35">
      <c r="A35" s="1" t="inlineStr">
        <is>
          <t>100 X 70</t>
        </is>
      </c>
      <c r="B35" s="1" t="inlineStr">
        <is>
          <t>ADC5240</t>
        </is>
      </c>
      <c r="C35" s="5" t="inlineStr">
        <is>
          <t>EMIS - COUCHE T3</t>
        </is>
      </c>
      <c r="D35" s="11" t="n">
        <v>1285</v>
      </c>
      <c r="E35" s="11" t="inlineStr">
        <is>
          <t>3 x 106</t>
        </is>
      </c>
    </row>
    <row r="36">
      <c r="A36" s="1" t="inlineStr">
        <is>
          <t>51 X 51</t>
        </is>
      </c>
      <c r="B36" s="1" t="inlineStr">
        <is>
          <t>AP725</t>
        </is>
      </c>
      <c r="C36" s="4" t="inlineStr">
        <is>
          <t>EMIS - BOPP T3</t>
        </is>
      </c>
      <c r="D36" s="11" t="n">
        <v>1111</v>
      </c>
      <c r="E36" s="11" t="inlineStr">
        <is>
          <t>3 x 56</t>
        </is>
      </c>
    </row>
    <row r="37">
      <c r="A37" s="22" t="inlineStr">
        <is>
          <t>102 x 197</t>
        </is>
      </c>
      <c r="B37" s="1" t="n"/>
      <c r="C37" s="5" t="inlineStr">
        <is>
          <t>FRIVASA</t>
        </is>
      </c>
      <c r="D37" s="11" t="n">
        <v>500</v>
      </c>
      <c r="E37" s="11" t="inlineStr">
        <is>
          <t>3 x 110</t>
        </is>
      </c>
    </row>
    <row r="38">
      <c r="A38" s="1" t="inlineStr">
        <is>
          <t>50 x 235</t>
        </is>
      </c>
      <c r="B38" s="1" t="n"/>
      <c r="C38" s="5" t="inlineStr">
        <is>
          <t>FRIVASA</t>
        </is>
      </c>
      <c r="D38" s="11" t="n">
        <v>500</v>
      </c>
      <c r="E38" s="11" t="inlineStr">
        <is>
          <t>3 x 56</t>
        </is>
      </c>
    </row>
    <row r="39">
      <c r="A39" s="1" t="inlineStr">
        <is>
          <t>50 x 200 x 2</t>
        </is>
      </c>
      <c r="B39" s="1" t="n"/>
      <c r="C39" s="5" t="inlineStr">
        <is>
          <t>FRIVASA</t>
        </is>
      </c>
      <c r="D39" s="11" t="n">
        <v>1000</v>
      </c>
      <c r="E39" s="11" t="inlineStr">
        <is>
          <t>3 x 56</t>
        </is>
      </c>
    </row>
    <row r="40">
      <c r="A40" s="1" t="inlineStr">
        <is>
          <t>86 x 165</t>
        </is>
      </c>
      <c r="B40" s="1" t="n"/>
      <c r="C40" s="5" t="inlineStr">
        <is>
          <t>FRIVASA</t>
        </is>
      </c>
      <c r="D40" s="11" t="n">
        <v>1000</v>
      </c>
      <c r="E40" s="11" t="inlineStr">
        <is>
          <t>3 x 96</t>
        </is>
      </c>
    </row>
    <row r="41">
      <c r="A41" s="1" t="inlineStr">
        <is>
          <t>50 X 40 X 2</t>
        </is>
      </c>
      <c r="B41" s="1" t="inlineStr">
        <is>
          <t>ADC5240</t>
        </is>
      </c>
      <c r="C41" s="4" t="inlineStr">
        <is>
          <t>INJEX</t>
        </is>
      </c>
      <c r="D41" s="24">
        <f>40000/43</f>
        <v/>
      </c>
      <c r="E41" s="11" t="inlineStr">
        <is>
          <t>1 x 56</t>
        </is>
      </c>
    </row>
    <row r="42">
      <c r="A42" s="1" t="inlineStr">
        <is>
          <t>205 x 104</t>
        </is>
      </c>
      <c r="B42" s="1" t="inlineStr">
        <is>
          <t>ADC5240</t>
        </is>
      </c>
      <c r="C42" s="4" t="inlineStr">
        <is>
          <t>VITAMINAS</t>
        </is>
      </c>
      <c r="D42" s="11" t="n">
        <v>1000</v>
      </c>
      <c r="E42" s="11" t="inlineStr">
        <is>
          <t>1 x 110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2026-08-20T19:18:13Z</dcterms:created>
  <dcterms:modified xsi:type="dcterms:W3CDTF">2026-08-30T14:50:55Z</dcterms:modified>
  <cp:lastModifiedBy>User</cp:lastModifiedBy>
</cp:coreProperties>
</file>